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  <sheet state="visible" name="Week 1" sheetId="2" r:id="rId5"/>
    <sheet state="visible" name="Week 2" sheetId="3" r:id="rId6"/>
    <sheet state="visible" name="Week 3" sheetId="4" r:id="rId7"/>
    <sheet state="visible" name="Week 4" sheetId="5" r:id="rId8"/>
    <sheet state="visible" name="Week 5" sheetId="6" r:id="rId9"/>
    <sheet state="visible" name="Week 6" sheetId="7" r:id="rId10"/>
    <sheet state="visible" name="Week 7" sheetId="8" r:id="rId11"/>
    <sheet state="visible" name="Week 8" sheetId="9" r:id="rId12"/>
    <sheet state="visible" name="Week 9" sheetId="10" r:id="rId13"/>
    <sheet state="visible" name="Week 10" sheetId="11" r:id="rId14"/>
    <sheet state="visible" name="Week 11" sheetId="12" r:id="rId15"/>
    <sheet state="visible" name="Week 12" sheetId="13" r:id="rId16"/>
    <sheet state="visible" name="Week 13" sheetId="14" r:id="rId17"/>
  </sheets>
  <definedNames/>
  <calcPr/>
  <extLst>
    <ext uri="GoogleSheetsCustomDataVersion2">
      <go:sheetsCustomData xmlns:go="http://customooxmlschemas.google.com/" r:id="rId18" roundtripDataChecksum="oIZpuoFwsJmGMQV0+SQcYcC8OZECZXqLYf8eT3eQ4WY="/>
    </ext>
  </extLst>
</workbook>
</file>

<file path=xl/sharedStrings.xml><?xml version="1.0" encoding="utf-8"?>
<sst xmlns="http://schemas.openxmlformats.org/spreadsheetml/2006/main" count="1186" uniqueCount="54">
  <si>
    <t>Strength Training</t>
  </si>
  <si>
    <t>%</t>
  </si>
  <si>
    <t>Leg Extension</t>
  </si>
  <si>
    <t>Incline Pec Fly</t>
  </si>
  <si>
    <t>Lateral Raise</t>
  </si>
  <si>
    <t>Hammer Grip Row</t>
  </si>
  <si>
    <t>Pronated Lat Pulldown</t>
  </si>
  <si>
    <t>Strict Row</t>
  </si>
  <si>
    <t>Hammer Curl</t>
  </si>
  <si>
    <t>Cable Curl</t>
  </si>
  <si>
    <t>Lift</t>
  </si>
  <si>
    <t>Weight Lifted</t>
  </si>
  <si>
    <t>Reps</t>
  </si>
  <si>
    <t>Estimated 1RM</t>
  </si>
  <si>
    <t>Training Max (95%)</t>
  </si>
  <si>
    <t>Programming</t>
  </si>
  <si>
    <t>Back Squat</t>
  </si>
  <si>
    <t>Week</t>
  </si>
  <si>
    <t>Sets</t>
  </si>
  <si>
    <t>Bench Press</t>
  </si>
  <si>
    <t>Standing OHP</t>
  </si>
  <si>
    <t>Deadlift</t>
  </si>
  <si>
    <t>Percent</t>
  </si>
  <si>
    <t>Squat</t>
  </si>
  <si>
    <t>Bench</t>
  </si>
  <si>
    <t>OHP</t>
  </si>
  <si>
    <t>Accessory Exercise</t>
  </si>
  <si>
    <t>Weight</t>
  </si>
  <si>
    <t>Week 1</t>
  </si>
  <si>
    <t>TUESDAY – PUSH</t>
  </si>
  <si>
    <t>Exercise</t>
  </si>
  <si>
    <t>Working Set</t>
  </si>
  <si>
    <t>Target Kg</t>
  </si>
  <si>
    <t>RPE</t>
  </si>
  <si>
    <t>Notes</t>
  </si>
  <si>
    <t>Set 1</t>
  </si>
  <si>
    <t>Set 2</t>
  </si>
  <si>
    <t>Set 3</t>
  </si>
  <si>
    <t>10-12</t>
  </si>
  <si>
    <t>THURSDAY – PULL</t>
  </si>
  <si>
    <t>Seated Cable Row</t>
  </si>
  <si>
    <t>Week 2</t>
  </si>
  <si>
    <t>Week 3</t>
  </si>
  <si>
    <t>Week 4</t>
  </si>
  <si>
    <t>Set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</si>
  <si>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</si>
  <si>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</si>
  <si>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</si>
  <si>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</si>
  <si>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</si>
  <si>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</si>
  <si>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</si>
  <si>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</si>
  <si>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Strength Test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</si>
</sst>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6.0"/>
      <color theme="1"/>
      <name val="Calibri"/>
    </font>
    <font>
      <sz val="11.0"/>
      <color theme="1"/>
      <name val="Calibri"/>
    </font>
    <font>
      <b/>
      <color theme="1"/>
      <name val="Calibri"/>
    </font>
    <font>
      <color theme="1"/>
      <name val="Calibri"/>
    </font>
    <font>
      <b/>
      <color rgb="FFFFFFFF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D9EAF7"/>
        <bgColor rgb="FFD9EAF7"/>
      </patternFill>
    </fill>
    <fill>
      <patternFill patternType="solid">
        <fgColor rgb="FFE2F0D9"/>
        <bgColor rgb="FFE2F0D9"/>
      </patternFill>
    </fill>
    <fill>
      <patternFill patternType="solid">
        <fgColor rgb="FFFCE4D6"/>
        <bgColor rgb="FFFCE4D6"/>
      </patternFill>
    </fill>
    <fill>
      <patternFill patternType="solid">
        <fgColor rgb="FF2563EB"/>
        <bgColor rgb="FF2563EB"/>
      </patternFill>
    </fill>
    <fill>
      <patternFill patternType="solid">
        <fgColor rgb="FF1F2937"/>
        <bgColor rgb="FF1F2937"/>
      </patternFill>
    </fill>
    <fill>
      <patternFill patternType="solid">
        <fgColor rgb="FF16A34A"/>
        <bgColor rgb="FF16A34A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Border="1" applyFill="1" applyFont="1"/>
    <xf borderId="0" fillId="0" fontId="3" numFmtId="0" xfId="0" applyFont="1"/>
    <xf borderId="0" fillId="0" fontId="4" numFmtId="0" xfId="0" applyFont="1"/>
    <xf borderId="1" fillId="3" fontId="3" numFmtId="0" xfId="0" applyBorder="1" applyFill="1" applyFont="1"/>
    <xf borderId="0" fillId="4" fontId="3" numFmtId="0" xfId="0" applyFill="1" applyFont="1"/>
    <xf borderId="0" fillId="0" fontId="2" numFmtId="0" xfId="0" applyAlignment="1" applyFont="1">
      <alignment readingOrder="0"/>
    </xf>
    <xf borderId="1" fillId="5" fontId="5" numFmtId="0" xfId="0" applyAlignment="1" applyBorder="1" applyFill="1" applyFont="1">
      <alignment horizontal="center"/>
    </xf>
    <xf borderId="1" fillId="6" fontId="5" numFmtId="0" xfId="0" applyAlignment="1" applyBorder="1" applyFill="1" applyFont="1">
      <alignment horizontal="center"/>
    </xf>
    <xf borderId="1" fillId="7" fontId="5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 t="s">
        <v>1</v>
      </c>
      <c r="K2" s="2" t="s">
        <v>2</v>
      </c>
      <c r="L2" s="2" t="s">
        <v>3</v>
      </c>
      <c r="M2" s="2" t="s">
        <v>4</v>
      </c>
      <c r="N2" s="2" t="s">
        <v>5</v>
      </c>
      <c r="O2" s="2" t="s">
        <v>6</v>
      </c>
      <c r="P2" s="2" t="s">
        <v>7</v>
      </c>
      <c r="Q2" s="2" t="s">
        <v>8</v>
      </c>
      <c r="R2" s="2" t="s">
        <v>9</v>
      </c>
      <c r="S2" s="2"/>
      <c r="T2" s="2"/>
      <c r="U2" s="2"/>
      <c r="V2" s="2"/>
      <c r="W2" s="2"/>
      <c r="X2" s="2"/>
      <c r="Y2" s="2"/>
      <c r="Z2" s="2"/>
    </row>
    <row r="3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2"/>
      <c r="G3" s="4" t="s">
        <v>15</v>
      </c>
      <c r="H3" s="2"/>
      <c r="I3" s="2"/>
      <c r="J3" s="2">
        <v>65.0</v>
      </c>
      <c r="K3" s="2">
        <f t="shared" ref="K3:K7" si="1">IF($E$8="","",CEILING($E$8*$J3/100, 2.5))</f>
        <v>42.5</v>
      </c>
      <c r="L3" s="2">
        <f t="shared" ref="L3:L7" si="2">IF($E$9="","",CEILING($E$9*$J3/100, 2.5))</f>
        <v>42.5</v>
      </c>
      <c r="M3" s="2">
        <f t="shared" ref="M3:M7" si="3">IF($E$10="","",CEILING($E$10*$J3/100, 2.5))</f>
        <v>42.5</v>
      </c>
      <c r="N3" s="2">
        <f t="shared" ref="N3:N7" si="4">IF($E$11="","",CEILING($E$11*$J3/100, 2.5))</f>
        <v>42.5</v>
      </c>
      <c r="O3" s="2">
        <f t="shared" ref="O3:O7" si="5">IF($E$12="","",CEILING($E$12*$J3/100, 2.5))</f>
        <v>42.5</v>
      </c>
      <c r="P3" s="2">
        <f t="shared" ref="P3:P7" si="6">IF($E$13="","",CEILING($E$13*$J3/100, 2.5))</f>
        <v>42.5</v>
      </c>
      <c r="Q3" s="2">
        <f t="shared" ref="Q3:Q7" si="7">IF($E$14="","",CEILING($E$14*$J3/100, 2.5))</f>
        <v>42.5</v>
      </c>
      <c r="R3" s="2">
        <f t="shared" ref="R3:R7" si="8">IF($E$15="","",CEILING($E$15*$J3/100, 2.5))</f>
        <v>42.5</v>
      </c>
      <c r="S3" s="2"/>
      <c r="T3" s="2"/>
      <c r="U3" s="2"/>
      <c r="V3" s="2"/>
      <c r="W3" s="2"/>
      <c r="X3" s="2"/>
      <c r="Y3" s="2"/>
      <c r="Z3" s="2"/>
    </row>
    <row r="4">
      <c r="A4" s="5" t="s">
        <v>16</v>
      </c>
      <c r="B4" s="5">
        <v>100.0</v>
      </c>
      <c r="C4" s="5">
        <v>1.0</v>
      </c>
      <c r="D4" s="5">
        <f t="shared" ref="D4:D15" si="9">IF(C4=1, B4, B4*(1+0.0333*C4))</f>
        <v>100</v>
      </c>
      <c r="E4" s="5">
        <f t="shared" ref="E4:E15" si="10">D4*0.95</f>
        <v>95</v>
      </c>
      <c r="F4" s="2"/>
      <c r="G4" s="6" t="s">
        <v>17</v>
      </c>
      <c r="H4" s="6" t="s">
        <v>1</v>
      </c>
      <c r="I4" s="6" t="s">
        <v>18</v>
      </c>
      <c r="J4" s="6">
        <v>67.5</v>
      </c>
      <c r="K4" s="2">
        <f t="shared" si="1"/>
        <v>45</v>
      </c>
      <c r="L4" s="2">
        <f t="shared" si="2"/>
        <v>45</v>
      </c>
      <c r="M4" s="2">
        <f t="shared" si="3"/>
        <v>45</v>
      </c>
      <c r="N4" s="2">
        <f t="shared" si="4"/>
        <v>45</v>
      </c>
      <c r="O4" s="2">
        <f t="shared" si="5"/>
        <v>45</v>
      </c>
      <c r="P4" s="2">
        <f t="shared" si="6"/>
        <v>45</v>
      </c>
      <c r="Q4" s="2">
        <f t="shared" si="7"/>
        <v>45</v>
      </c>
      <c r="R4" s="2">
        <f t="shared" si="8"/>
        <v>45</v>
      </c>
      <c r="S4" s="2"/>
      <c r="T4" s="2"/>
      <c r="U4" s="2"/>
      <c r="V4" s="2"/>
      <c r="W4" s="2"/>
      <c r="X4" s="2"/>
      <c r="Y4" s="2"/>
      <c r="Z4" s="2"/>
    </row>
    <row r="5">
      <c r="A5" s="5" t="s">
        <v>19</v>
      </c>
      <c r="B5" s="5">
        <v>30.0</v>
      </c>
      <c r="C5" s="5">
        <v>12.0</v>
      </c>
      <c r="D5" s="5">
        <f t="shared" si="9"/>
        <v>41.988</v>
      </c>
      <c r="E5" s="5">
        <f t="shared" si="10"/>
        <v>39.8886</v>
      </c>
      <c r="F5" s="2"/>
      <c r="G5" s="5">
        <v>1.0</v>
      </c>
      <c r="H5" s="5">
        <v>75.0</v>
      </c>
      <c r="I5" s="5">
        <v>3.0</v>
      </c>
      <c r="J5" s="5">
        <v>70.0</v>
      </c>
      <c r="K5" s="2">
        <f t="shared" si="1"/>
        <v>45</v>
      </c>
      <c r="L5" s="2">
        <f t="shared" si="2"/>
        <v>45</v>
      </c>
      <c r="M5" s="2">
        <f t="shared" si="3"/>
        <v>45</v>
      </c>
      <c r="N5" s="2">
        <f t="shared" si="4"/>
        <v>45</v>
      </c>
      <c r="O5" s="2">
        <f t="shared" si="5"/>
        <v>45</v>
      </c>
      <c r="P5" s="2">
        <f t="shared" si="6"/>
        <v>45</v>
      </c>
      <c r="Q5" s="2">
        <f t="shared" si="7"/>
        <v>45</v>
      </c>
      <c r="R5" s="2">
        <f t="shared" si="8"/>
        <v>45</v>
      </c>
      <c r="S5" s="2"/>
      <c r="T5" s="2"/>
      <c r="U5" s="2"/>
      <c r="V5" s="2"/>
      <c r="W5" s="2"/>
      <c r="X5" s="2"/>
      <c r="Y5" s="2"/>
      <c r="Z5" s="2"/>
    </row>
    <row r="6">
      <c r="A6" s="5" t="s">
        <v>20</v>
      </c>
      <c r="B6" s="5">
        <v>30.0</v>
      </c>
      <c r="C6" s="5">
        <v>1.0</v>
      </c>
      <c r="D6" s="5">
        <f t="shared" si="9"/>
        <v>30</v>
      </c>
      <c r="E6" s="5">
        <f t="shared" si="10"/>
        <v>28.5</v>
      </c>
      <c r="F6" s="2"/>
      <c r="G6" s="5">
        <v>2.0</v>
      </c>
      <c r="H6" s="5">
        <v>80.0</v>
      </c>
      <c r="I6" s="5">
        <v>3.0</v>
      </c>
      <c r="J6" s="5">
        <v>72.5</v>
      </c>
      <c r="K6" s="2">
        <f t="shared" si="1"/>
        <v>47.5</v>
      </c>
      <c r="L6" s="2">
        <f t="shared" si="2"/>
        <v>47.5</v>
      </c>
      <c r="M6" s="2">
        <f t="shared" si="3"/>
        <v>47.5</v>
      </c>
      <c r="N6" s="2">
        <f t="shared" si="4"/>
        <v>47.5</v>
      </c>
      <c r="O6" s="2">
        <f t="shared" si="5"/>
        <v>47.5</v>
      </c>
      <c r="P6" s="2">
        <f t="shared" si="6"/>
        <v>47.5</v>
      </c>
      <c r="Q6" s="2">
        <f t="shared" si="7"/>
        <v>47.5</v>
      </c>
      <c r="R6" s="2">
        <f t="shared" si="8"/>
        <v>47.5</v>
      </c>
      <c r="S6" s="2"/>
      <c r="T6" s="2"/>
      <c r="U6" s="2"/>
      <c r="V6" s="2"/>
      <c r="W6" s="2"/>
      <c r="X6" s="2"/>
      <c r="Y6" s="2"/>
      <c r="Z6" s="2"/>
    </row>
    <row r="7">
      <c r="A7" s="5" t="s">
        <v>21</v>
      </c>
      <c r="B7" s="5">
        <v>140.0</v>
      </c>
      <c r="C7" s="5">
        <v>1.0</v>
      </c>
      <c r="D7" s="5">
        <f t="shared" si="9"/>
        <v>140</v>
      </c>
      <c r="E7" s="5">
        <f t="shared" si="10"/>
        <v>133</v>
      </c>
      <c r="F7" s="2"/>
      <c r="G7" s="5">
        <v>3.0</v>
      </c>
      <c r="H7" s="5">
        <v>82.5</v>
      </c>
      <c r="I7" s="5">
        <v>3.0</v>
      </c>
      <c r="J7" s="5">
        <v>75.0</v>
      </c>
      <c r="K7" s="2">
        <f t="shared" si="1"/>
        <v>47.5</v>
      </c>
      <c r="L7" s="2">
        <f t="shared" si="2"/>
        <v>47.5</v>
      </c>
      <c r="M7" s="2">
        <f t="shared" si="3"/>
        <v>47.5</v>
      </c>
      <c r="N7" s="2">
        <f t="shared" si="4"/>
        <v>47.5</v>
      </c>
      <c r="O7" s="2">
        <f t="shared" si="5"/>
        <v>47.5</v>
      </c>
      <c r="P7" s="2">
        <f t="shared" si="6"/>
        <v>47.5</v>
      </c>
      <c r="Q7" s="2">
        <f t="shared" si="7"/>
        <v>47.5</v>
      </c>
      <c r="R7" s="2">
        <f t="shared" si="8"/>
        <v>47.5</v>
      </c>
      <c r="S7" s="2"/>
      <c r="T7" s="2"/>
      <c r="U7" s="2"/>
      <c r="V7" s="2"/>
      <c r="W7" s="2"/>
      <c r="X7" s="2"/>
      <c r="Y7" s="2"/>
      <c r="Z7" s="2"/>
    </row>
    <row r="8">
      <c r="A8" s="2" t="s">
        <v>2</v>
      </c>
      <c r="B8" s="2">
        <v>50.0</v>
      </c>
      <c r="C8" s="2">
        <v>10.0</v>
      </c>
      <c r="D8" s="2">
        <f t="shared" si="9"/>
        <v>66.65</v>
      </c>
      <c r="E8" s="2">
        <f t="shared" si="10"/>
        <v>63.3175</v>
      </c>
      <c r="F8" s="2"/>
      <c r="G8" s="5">
        <v>4.0</v>
      </c>
      <c r="H8" s="5">
        <v>85.0</v>
      </c>
      <c r="I8" s="5">
        <v>4.0</v>
      </c>
      <c r="J8" s="5">
        <v>3.0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3</v>
      </c>
      <c r="B9" s="2">
        <v>50.0</v>
      </c>
      <c r="C9" s="2">
        <v>10.0</v>
      </c>
      <c r="D9" s="2">
        <f t="shared" si="9"/>
        <v>66.65</v>
      </c>
      <c r="E9" s="2">
        <f t="shared" si="10"/>
        <v>63.3175</v>
      </c>
      <c r="F9" s="2"/>
      <c r="G9" s="5">
        <v>5.0</v>
      </c>
      <c r="H9" s="5">
        <v>87.5</v>
      </c>
      <c r="I9" s="5">
        <v>3.0</v>
      </c>
      <c r="J9" s="5">
        <v>12.0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">
        <v>4</v>
      </c>
      <c r="B10" s="2">
        <v>50.0</v>
      </c>
      <c r="C10" s="2">
        <v>10.0</v>
      </c>
      <c r="D10" s="2">
        <f t="shared" si="9"/>
        <v>66.65</v>
      </c>
      <c r="E10" s="2">
        <f t="shared" si="10"/>
        <v>63.3175</v>
      </c>
      <c r="F10" s="2"/>
      <c r="G10" s="5">
        <v>6.0</v>
      </c>
      <c r="H10" s="5">
        <v>60.0</v>
      </c>
      <c r="I10" s="5">
        <v>3.0</v>
      </c>
      <c r="J10" s="5">
        <v>10.0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">
        <v>5</v>
      </c>
      <c r="B11" s="2">
        <v>50.0</v>
      </c>
      <c r="C11" s="2">
        <v>10.0</v>
      </c>
      <c r="D11" s="2">
        <f t="shared" si="9"/>
        <v>66.65</v>
      </c>
      <c r="E11" s="2">
        <f t="shared" si="10"/>
        <v>63.3175</v>
      </c>
      <c r="F11" s="2"/>
      <c r="G11" s="5">
        <v>7.0</v>
      </c>
      <c r="H11" s="5">
        <v>65.0</v>
      </c>
      <c r="I11" s="5">
        <v>3.0</v>
      </c>
      <c r="J11" s="5">
        <v>8.0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">
        <v>6</v>
      </c>
      <c r="B12" s="2">
        <v>50.0</v>
      </c>
      <c r="C12" s="2">
        <v>10.0</v>
      </c>
      <c r="D12" s="2">
        <f t="shared" si="9"/>
        <v>66.65</v>
      </c>
      <c r="E12" s="2">
        <f t="shared" si="10"/>
        <v>63.3175</v>
      </c>
      <c r="F12" s="2"/>
      <c r="G12" s="5">
        <v>8.0</v>
      </c>
      <c r="H12" s="5">
        <v>65.0</v>
      </c>
      <c r="I12" s="5">
        <v>3.0</v>
      </c>
      <c r="J12" s="5">
        <v>6.0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">
        <v>7</v>
      </c>
      <c r="B13" s="2">
        <v>50.0</v>
      </c>
      <c r="C13" s="2">
        <v>10.0</v>
      </c>
      <c r="D13" s="2">
        <f t="shared" si="9"/>
        <v>66.65</v>
      </c>
      <c r="E13" s="2">
        <f t="shared" si="10"/>
        <v>63.3175</v>
      </c>
      <c r="F13" s="2"/>
      <c r="G13" s="5">
        <v>9.0</v>
      </c>
      <c r="H13" s="5">
        <v>85.0</v>
      </c>
      <c r="I13" s="5">
        <v>3.0</v>
      </c>
      <c r="J13" s="5">
        <v>5.0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">
        <v>8</v>
      </c>
      <c r="B14" s="2">
        <v>50.0</v>
      </c>
      <c r="C14" s="2">
        <v>10.0</v>
      </c>
      <c r="D14" s="2">
        <f t="shared" si="9"/>
        <v>66.65</v>
      </c>
      <c r="E14" s="2">
        <f t="shared" si="10"/>
        <v>63.3175</v>
      </c>
      <c r="F14" s="2"/>
      <c r="G14" s="5">
        <v>10.0</v>
      </c>
      <c r="H14" s="5">
        <v>90.0</v>
      </c>
      <c r="I14" s="5">
        <v>4.0</v>
      </c>
      <c r="J14" s="5">
        <v>3.0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">
        <v>9</v>
      </c>
      <c r="B15" s="2">
        <v>50.0</v>
      </c>
      <c r="C15" s="2">
        <v>10.0</v>
      </c>
      <c r="D15" s="2">
        <f t="shared" si="9"/>
        <v>66.65</v>
      </c>
      <c r="E15" s="2">
        <f t="shared" si="10"/>
        <v>63.3175</v>
      </c>
      <c r="F15" s="2"/>
      <c r="G15" s="5">
        <v>11.0</v>
      </c>
      <c r="H15" s="5">
        <v>92.5</v>
      </c>
      <c r="I15" s="5">
        <v>3.0</v>
      </c>
      <c r="J15" s="5">
        <v>12.0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5">
        <v>12.0</v>
      </c>
      <c r="H16" s="5">
        <v>95.0</v>
      </c>
      <c r="I16" s="5">
        <v>3.0</v>
      </c>
      <c r="J16" s="5">
        <v>10.0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6" t="s">
        <v>22</v>
      </c>
      <c r="B18" s="6" t="s">
        <v>23</v>
      </c>
      <c r="C18" s="6" t="s">
        <v>24</v>
      </c>
      <c r="D18" s="6" t="s">
        <v>25</v>
      </c>
      <c r="E18" s="6" t="s">
        <v>21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5">
        <v>40.0</v>
      </c>
      <c r="B19" s="5">
        <f t="shared" ref="B19:B40" si="11">CEILING($E$4*($A19/100), 5)</f>
        <v>40</v>
      </c>
      <c r="C19" s="5">
        <f t="shared" ref="C19:C40" si="12">CEILING($E$5*($A19/100), 5)</f>
        <v>20</v>
      </c>
      <c r="D19" s="5">
        <f t="shared" ref="D19:D40" si="13">CEILING($E$6*($A19/100), 5)</f>
        <v>15</v>
      </c>
      <c r="E19" s="5">
        <f t="shared" ref="E19:E40" si="14">CEILING($E$7*($A19/100), 5)</f>
        <v>55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5">
        <v>45.0</v>
      </c>
      <c r="B20" s="5">
        <f t="shared" si="11"/>
        <v>45</v>
      </c>
      <c r="C20" s="5">
        <f t="shared" si="12"/>
        <v>20</v>
      </c>
      <c r="D20" s="5">
        <f t="shared" si="13"/>
        <v>15</v>
      </c>
      <c r="E20" s="5">
        <f t="shared" si="14"/>
        <v>60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5">
        <v>50.0</v>
      </c>
      <c r="B21" s="5">
        <f t="shared" si="11"/>
        <v>50</v>
      </c>
      <c r="C21" s="5">
        <f t="shared" si="12"/>
        <v>20</v>
      </c>
      <c r="D21" s="5">
        <f t="shared" si="13"/>
        <v>15</v>
      </c>
      <c r="E21" s="5">
        <f t="shared" si="14"/>
        <v>70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5">
        <v>55.0</v>
      </c>
      <c r="B22" s="5">
        <f t="shared" si="11"/>
        <v>55</v>
      </c>
      <c r="C22" s="5">
        <f t="shared" si="12"/>
        <v>25</v>
      </c>
      <c r="D22" s="5">
        <f t="shared" si="13"/>
        <v>20</v>
      </c>
      <c r="E22" s="5">
        <f t="shared" si="14"/>
        <v>75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5">
        <v>60.0</v>
      </c>
      <c r="B23" s="5">
        <f t="shared" si="11"/>
        <v>60</v>
      </c>
      <c r="C23" s="5">
        <f t="shared" si="12"/>
        <v>25</v>
      </c>
      <c r="D23" s="5">
        <f t="shared" si="13"/>
        <v>20</v>
      </c>
      <c r="E23" s="5">
        <f t="shared" si="14"/>
        <v>80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5">
        <v>65.0</v>
      </c>
      <c r="B24" s="5">
        <f t="shared" si="11"/>
        <v>65</v>
      </c>
      <c r="C24" s="5">
        <f t="shared" si="12"/>
        <v>30</v>
      </c>
      <c r="D24" s="5">
        <f t="shared" si="13"/>
        <v>20</v>
      </c>
      <c r="E24" s="5">
        <f t="shared" si="14"/>
        <v>90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5">
        <v>70.0</v>
      </c>
      <c r="B25" s="5">
        <f t="shared" si="11"/>
        <v>70</v>
      </c>
      <c r="C25" s="5">
        <f t="shared" si="12"/>
        <v>30</v>
      </c>
      <c r="D25" s="5">
        <f t="shared" si="13"/>
        <v>20</v>
      </c>
      <c r="E25" s="5">
        <f t="shared" si="14"/>
        <v>95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5">
        <v>72.5</v>
      </c>
      <c r="B26" s="5">
        <f t="shared" si="11"/>
        <v>70</v>
      </c>
      <c r="C26" s="5">
        <f t="shared" si="12"/>
        <v>30</v>
      </c>
      <c r="D26" s="5">
        <f t="shared" si="13"/>
        <v>25</v>
      </c>
      <c r="E26" s="5">
        <f t="shared" si="14"/>
        <v>100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5">
        <v>75.0</v>
      </c>
      <c r="B27" s="5">
        <f t="shared" si="11"/>
        <v>75</v>
      </c>
      <c r="C27" s="5">
        <f t="shared" si="12"/>
        <v>30</v>
      </c>
      <c r="D27" s="5">
        <f t="shared" si="13"/>
        <v>25</v>
      </c>
      <c r="E27" s="5">
        <f t="shared" si="14"/>
        <v>100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5">
        <v>77.5</v>
      </c>
      <c r="B28" s="5">
        <f t="shared" si="11"/>
        <v>75</v>
      </c>
      <c r="C28" s="5">
        <f t="shared" si="12"/>
        <v>35</v>
      </c>
      <c r="D28" s="5">
        <f t="shared" si="13"/>
        <v>25</v>
      </c>
      <c r="E28" s="5">
        <f t="shared" si="14"/>
        <v>105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5">
        <v>79.0</v>
      </c>
      <c r="B29" s="5">
        <f t="shared" si="11"/>
        <v>80</v>
      </c>
      <c r="C29" s="5">
        <f t="shared" si="12"/>
        <v>35</v>
      </c>
      <c r="D29" s="5">
        <f t="shared" si="13"/>
        <v>25</v>
      </c>
      <c r="E29" s="5">
        <f t="shared" si="14"/>
        <v>110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5">
        <v>80.0</v>
      </c>
      <c r="B30" s="5">
        <f t="shared" si="11"/>
        <v>80</v>
      </c>
      <c r="C30" s="5">
        <f t="shared" si="12"/>
        <v>35</v>
      </c>
      <c r="D30" s="5">
        <f t="shared" si="13"/>
        <v>25</v>
      </c>
      <c r="E30" s="5">
        <f t="shared" si="14"/>
        <v>110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5">
        <v>82.0</v>
      </c>
      <c r="B31" s="5">
        <f t="shared" si="11"/>
        <v>80</v>
      </c>
      <c r="C31" s="5">
        <f t="shared" si="12"/>
        <v>35</v>
      </c>
      <c r="D31" s="5">
        <f t="shared" si="13"/>
        <v>25</v>
      </c>
      <c r="E31" s="5">
        <f t="shared" si="14"/>
        <v>110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5">
        <v>82.5</v>
      </c>
      <c r="B32" s="5">
        <f t="shared" si="11"/>
        <v>80</v>
      </c>
      <c r="C32" s="5">
        <f t="shared" si="12"/>
        <v>35</v>
      </c>
      <c r="D32" s="5">
        <f t="shared" si="13"/>
        <v>25</v>
      </c>
      <c r="E32" s="5">
        <f t="shared" si="14"/>
        <v>110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5">
        <v>85.0</v>
      </c>
      <c r="B33" s="5">
        <f t="shared" si="11"/>
        <v>85</v>
      </c>
      <c r="C33" s="5">
        <f t="shared" si="12"/>
        <v>35</v>
      </c>
      <c r="D33" s="5">
        <f t="shared" si="13"/>
        <v>25</v>
      </c>
      <c r="E33" s="5">
        <f t="shared" si="14"/>
        <v>115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5">
        <v>87.0</v>
      </c>
      <c r="B34" s="5">
        <f t="shared" si="11"/>
        <v>85</v>
      </c>
      <c r="C34" s="5">
        <f t="shared" si="12"/>
        <v>35</v>
      </c>
      <c r="D34" s="5">
        <f t="shared" si="13"/>
        <v>25</v>
      </c>
      <c r="E34" s="5">
        <f t="shared" si="14"/>
        <v>120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5">
        <v>87.5</v>
      </c>
      <c r="B35" s="5">
        <f t="shared" si="11"/>
        <v>85</v>
      </c>
      <c r="C35" s="5">
        <f t="shared" si="12"/>
        <v>35</v>
      </c>
      <c r="D35" s="5">
        <f t="shared" si="13"/>
        <v>25</v>
      </c>
      <c r="E35" s="5">
        <f t="shared" si="14"/>
        <v>120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5">
        <v>90.0</v>
      </c>
      <c r="B36" s="5">
        <f t="shared" si="11"/>
        <v>90</v>
      </c>
      <c r="C36" s="5">
        <f t="shared" si="12"/>
        <v>40</v>
      </c>
      <c r="D36" s="5">
        <f t="shared" si="13"/>
        <v>30</v>
      </c>
      <c r="E36" s="5">
        <f t="shared" si="14"/>
        <v>120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5">
        <v>92.5</v>
      </c>
      <c r="B37" s="5">
        <f t="shared" si="11"/>
        <v>90</v>
      </c>
      <c r="C37" s="5">
        <f t="shared" si="12"/>
        <v>40</v>
      </c>
      <c r="D37" s="5">
        <f t="shared" si="13"/>
        <v>30</v>
      </c>
      <c r="E37" s="5">
        <f t="shared" si="14"/>
        <v>125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5">
        <v>95.0</v>
      </c>
      <c r="B38" s="5">
        <f t="shared" si="11"/>
        <v>95</v>
      </c>
      <c r="C38" s="5">
        <f t="shared" si="12"/>
        <v>40</v>
      </c>
      <c r="D38" s="5">
        <f t="shared" si="13"/>
        <v>30</v>
      </c>
      <c r="E38" s="5">
        <f t="shared" si="14"/>
        <v>130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5">
        <v>97.5</v>
      </c>
      <c r="B39" s="5">
        <f t="shared" si="11"/>
        <v>95</v>
      </c>
      <c r="C39" s="5">
        <f t="shared" si="12"/>
        <v>40</v>
      </c>
      <c r="D39" s="5">
        <f t="shared" si="13"/>
        <v>30</v>
      </c>
      <c r="E39" s="5">
        <f t="shared" si="14"/>
        <v>130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5">
        <v>100.0</v>
      </c>
      <c r="B40" s="5">
        <f t="shared" si="11"/>
        <v>95</v>
      </c>
      <c r="C40" s="5">
        <f t="shared" si="12"/>
        <v>40</v>
      </c>
      <c r="D40" s="5">
        <f t="shared" si="13"/>
        <v>30</v>
      </c>
      <c r="E40" s="5">
        <f t="shared" si="14"/>
        <v>135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7" t="s">
        <v>26</v>
      </c>
      <c r="B42" s="7" t="s">
        <v>27</v>
      </c>
      <c r="C42" s="7" t="s">
        <v>12</v>
      </c>
      <c r="D42" s="7" t="s">
        <v>13</v>
      </c>
      <c r="E42" s="7" t="s">
        <v>14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5" t="s">
        <v>2</v>
      </c>
      <c r="B43" s="2">
        <v>55.0</v>
      </c>
      <c r="C43" s="2">
        <v>12.0</v>
      </c>
      <c r="D43" s="5">
        <f t="shared" ref="D43:D50" si="15">IF(OR(B43="",C43=""),"",ROUND(B43*(1+C43/30),1))</f>
        <v>77</v>
      </c>
      <c r="E43" s="5">
        <f t="shared" ref="E43:E50" si="16">IF(D43="","",ROUND(D43*0.95,1))</f>
        <v>73.2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5" t="s">
        <v>3</v>
      </c>
      <c r="B44" s="2">
        <v>10.0</v>
      </c>
      <c r="C44" s="2">
        <v>8.0</v>
      </c>
      <c r="D44" s="5">
        <f t="shared" si="15"/>
        <v>12.7</v>
      </c>
      <c r="E44" s="5">
        <f t="shared" si="16"/>
        <v>12.1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5" t="s">
        <v>4</v>
      </c>
      <c r="B45" s="2"/>
      <c r="C45" s="2"/>
      <c r="D45" s="5" t="str">
        <f t="shared" si="15"/>
        <v/>
      </c>
      <c r="E45" s="5" t="str">
        <f t="shared" si="16"/>
        <v/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5" t="s">
        <v>5</v>
      </c>
      <c r="B46" s="2">
        <v>80.0</v>
      </c>
      <c r="C46" s="2">
        <v>12.0</v>
      </c>
      <c r="D46" s="5">
        <f t="shared" si="15"/>
        <v>112</v>
      </c>
      <c r="E46" s="5">
        <f t="shared" si="16"/>
        <v>106.4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5" t="s">
        <v>6</v>
      </c>
      <c r="B47" s="2">
        <v>40.0</v>
      </c>
      <c r="C47" s="2">
        <v>12.0</v>
      </c>
      <c r="D47" s="5">
        <f t="shared" si="15"/>
        <v>56</v>
      </c>
      <c r="E47" s="5">
        <f t="shared" si="16"/>
        <v>53.2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5" t="s">
        <v>7</v>
      </c>
      <c r="B48" s="8">
        <v>40.0</v>
      </c>
      <c r="C48" s="8">
        <v>8.0</v>
      </c>
      <c r="D48" s="5">
        <f t="shared" si="15"/>
        <v>50.7</v>
      </c>
      <c r="E48" s="5">
        <f t="shared" si="16"/>
        <v>48.2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5" t="s">
        <v>8</v>
      </c>
      <c r="B49" s="2">
        <v>17.5</v>
      </c>
      <c r="C49" s="2">
        <v>8.0</v>
      </c>
      <c r="D49" s="5">
        <f t="shared" si="15"/>
        <v>22.2</v>
      </c>
      <c r="E49" s="5">
        <f t="shared" si="16"/>
        <v>21.1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5" t="s">
        <v>9</v>
      </c>
      <c r="B50" s="2">
        <v>38.25</v>
      </c>
      <c r="C50" s="2">
        <v>12.0</v>
      </c>
      <c r="D50" s="5">
        <f t="shared" si="15"/>
        <v>53.6</v>
      </c>
      <c r="E50" s="5">
        <f t="shared" si="16"/>
        <v>50.9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A1" s="5" t="s">
        <v>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 t="s">
        <v>29</v>
      </c>
      <c r="B3" s="9"/>
      <c r="C3" s="9"/>
      <c r="D3" s="9"/>
      <c r="E3" s="9"/>
      <c r="F3" s="9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" t="s">
        <v>30</v>
      </c>
      <c r="B4" s="10" t="s">
        <v>31</v>
      </c>
      <c r="C4" s="10" t="s">
        <v>32</v>
      </c>
      <c r="D4" s="10" t="s">
        <v>12</v>
      </c>
      <c r="E4" s="10" t="s">
        <v>33</v>
      </c>
      <c r="F4" s="10" t="s">
        <v>34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 t="s">
        <v>16</v>
      </c>
      <c r="B5" s="5" t="s">
        <v>35</v>
      </c>
      <c r="C5" s="5">
        <f>Dashboard!B27</f>
        <v>75</v>
      </c>
      <c r="D5" s="5">
        <v>8.0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5" t="s">
        <v>36</v>
      </c>
      <c r="C6" s="5">
        <f>Dashboard!B27</f>
        <v>75</v>
      </c>
      <c r="D6" s="5">
        <v>8.0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5" t="s">
        <v>37</v>
      </c>
      <c r="C7" s="5">
        <f>Dashboard!B27</f>
        <v>75</v>
      </c>
      <c r="D7" s="5">
        <v>8.0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5" t="s">
        <v>19</v>
      </c>
      <c r="B9" s="5" t="s">
        <v>35</v>
      </c>
      <c r="C9" s="5">
        <f>Dashboard!C27</f>
        <v>30</v>
      </c>
      <c r="D9" s="5">
        <v>8.0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5" t="s">
        <v>36</v>
      </c>
      <c r="C10" s="5">
        <f>Dashboard!C27</f>
        <v>30</v>
      </c>
      <c r="D10" s="5">
        <v>8.0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5" t="s">
        <v>37</v>
      </c>
      <c r="C11" s="5">
        <f>Dashboard!C27</f>
        <v>30</v>
      </c>
      <c r="D11" s="5">
        <v>8.0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5" t="s">
        <v>20</v>
      </c>
      <c r="B13" s="5" t="s">
        <v>35</v>
      </c>
      <c r="C13" s="5">
        <f>Dashboard!D27</f>
        <v>25</v>
      </c>
      <c r="D13" s="5">
        <v>8.0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5" t="s">
        <v>36</v>
      </c>
      <c r="C14" s="5">
        <f>Dashboard!D27</f>
        <v>25</v>
      </c>
      <c r="D14" s="5">
        <v>8.0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5" t="s">
        <v>37</v>
      </c>
      <c r="C15" s="5">
        <f>Dashboard!D27</f>
        <v>25</v>
      </c>
      <c r="D15" s="5">
        <v>8.0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5" t="s">
        <v>2</v>
      </c>
      <c r="B17" s="5" t="s">
        <v>35</v>
      </c>
      <c r="C17" s="2">
        <f>Dashboard!K3</f>
        <v>42.5</v>
      </c>
      <c r="D17" s="5" t="s">
        <v>38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5" t="s">
        <v>36</v>
      </c>
      <c r="C18" s="2">
        <f>Dashboard!K3</f>
        <v>42.5</v>
      </c>
      <c r="D18" s="5" t="s">
        <v>38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5" t="s">
        <v>37</v>
      </c>
      <c r="C19" s="2">
        <f>Dashboard!K3</f>
        <v>42.5</v>
      </c>
      <c r="D19" s="5" t="s">
        <v>38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5" t="s">
        <v>3</v>
      </c>
      <c r="B21" s="5" t="s">
        <v>35</v>
      </c>
      <c r="C21" s="2">
        <f>Dashboard!L3</f>
        <v>42.5</v>
      </c>
      <c r="D21" s="5" t="s">
        <v>38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5" t="s">
        <v>36</v>
      </c>
      <c r="C22" s="2">
        <f>Dashboard!L3</f>
        <v>42.5</v>
      </c>
      <c r="D22" s="5" t="s">
        <v>38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5" t="s">
        <v>37</v>
      </c>
      <c r="C23" s="2">
        <f>Dashboard!L3</f>
        <v>42.5</v>
      </c>
      <c r="D23" s="5" t="s">
        <v>38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5" t="s">
        <v>4</v>
      </c>
      <c r="B25" s="5" t="s">
        <v>35</v>
      </c>
      <c r="C25" s="2">
        <f>Dashboard!M3</f>
        <v>42.5</v>
      </c>
      <c r="D25" s="5" t="s">
        <v>38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5" t="s">
        <v>36</v>
      </c>
      <c r="C26" s="2">
        <f>Dashboard!M3</f>
        <v>42.5</v>
      </c>
      <c r="D26" s="5" t="s">
        <v>38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5" t="s">
        <v>37</v>
      </c>
      <c r="C27" s="2">
        <f>Dashboard!M3</f>
        <v>42.5</v>
      </c>
      <c r="D27" s="5" t="s">
        <v>38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1" t="s">
        <v>39</v>
      </c>
      <c r="B30" s="11"/>
      <c r="C30" s="11"/>
      <c r="D30" s="11"/>
      <c r="E30" s="11"/>
      <c r="F30" s="11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0" t="s">
        <v>30</v>
      </c>
      <c r="B31" s="10" t="s">
        <v>31</v>
      </c>
      <c r="C31" s="10" t="s">
        <v>32</v>
      </c>
      <c r="D31" s="10" t="s">
        <v>12</v>
      </c>
      <c r="E31" s="10" t="s">
        <v>33</v>
      </c>
      <c r="F31" s="10" t="s">
        <v>34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5" t="s">
        <v>21</v>
      </c>
      <c r="B32" s="5" t="s">
        <v>35</v>
      </c>
      <c r="C32" s="5">
        <f>Dashboard!E27</f>
        <v>100</v>
      </c>
      <c r="D32" s="5">
        <v>8.0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5" t="s">
        <v>36</v>
      </c>
      <c r="C33" s="5">
        <f>Dashboard!E27</f>
        <v>100</v>
      </c>
      <c r="D33" s="5">
        <v>8.0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5" t="s">
        <v>37</v>
      </c>
      <c r="C34" s="5">
        <f>Dashboard!E27</f>
        <v>100</v>
      </c>
      <c r="D34" s="5">
        <v>8.0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5" t="s">
        <v>5</v>
      </c>
      <c r="B36" s="5" t="s">
        <v>35</v>
      </c>
      <c r="C36" s="2">
        <f>Dashboard!N3</f>
        <v>42.5</v>
      </c>
      <c r="D36" s="5" t="s">
        <v>38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5" t="s">
        <v>36</v>
      </c>
      <c r="C37" s="2">
        <f>Dashboard!N3</f>
        <v>42.5</v>
      </c>
      <c r="D37" s="5" t="s">
        <v>38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5" t="s">
        <v>37</v>
      </c>
      <c r="C38" s="2">
        <f>Dashboard!N3</f>
        <v>42.5</v>
      </c>
      <c r="D38" s="5" t="s">
        <v>38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5" t="s">
        <v>6</v>
      </c>
      <c r="B40" s="5" t="s">
        <v>35</v>
      </c>
      <c r="C40" s="2">
        <f>Dashboard!O3</f>
        <v>42.5</v>
      </c>
      <c r="D40" s="5" t="s">
        <v>38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5" t="s">
        <v>36</v>
      </c>
      <c r="C41" s="2">
        <f>Dashboard!O3</f>
        <v>42.5</v>
      </c>
      <c r="D41" s="5" t="s">
        <v>38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5" t="s">
        <v>37</v>
      </c>
      <c r="C42" s="2">
        <f>Dashboard!O3</f>
        <v>42.5</v>
      </c>
      <c r="D42" s="5" t="s">
        <v>38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5" t="s">
        <v>40</v>
      </c>
      <c r="B44" s="5" t="s">
        <v>35</v>
      </c>
      <c r="C44" s="8">
        <v>32.0</v>
      </c>
      <c r="D44" s="5" t="s">
        <v>38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5" t="s">
        <v>36</v>
      </c>
      <c r="C45" s="8">
        <v>32.0</v>
      </c>
      <c r="D45" s="5" t="s">
        <v>38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5" t="s">
        <v>37</v>
      </c>
      <c r="C46" s="8">
        <v>32.0</v>
      </c>
      <c r="D46" s="5" t="s">
        <v>38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5" t="s">
        <v>7</v>
      </c>
      <c r="B48" s="5" t="s">
        <v>35</v>
      </c>
      <c r="C48" s="2">
        <f>Dashboard!P3</f>
        <v>42.5</v>
      </c>
      <c r="D48" s="5" t="s">
        <v>38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5" t="s">
        <v>36</v>
      </c>
      <c r="C49" s="2">
        <f>Dashboard!P3</f>
        <v>42.5</v>
      </c>
      <c r="D49" s="5" t="s">
        <v>38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5" t="s">
        <v>37</v>
      </c>
      <c r="C50" s="2">
        <f>Dashboard!P3</f>
        <v>42.5</v>
      </c>
      <c r="D50" s="5" t="s">
        <v>38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5" t="s">
        <v>8</v>
      </c>
      <c r="B52" s="5" t="s">
        <v>35</v>
      </c>
      <c r="C52" s="2">
        <f>Dashboard!Q3</f>
        <v>42.5</v>
      </c>
      <c r="D52" s="5" t="s">
        <v>38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5" t="s">
        <v>36</v>
      </c>
      <c r="C53" s="2">
        <f>Dashboard!Q3</f>
        <v>42.5</v>
      </c>
      <c r="D53" s="5" t="s">
        <v>38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5" t="s">
        <v>37</v>
      </c>
      <c r="C54" s="2">
        <f>Dashboard!Q3</f>
        <v>42.5</v>
      </c>
      <c r="D54" s="5" t="s">
        <v>38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5" t="s">
        <v>9</v>
      </c>
      <c r="B56" s="5" t="s">
        <v>35</v>
      </c>
      <c r="C56" s="2">
        <f>Dashboard!R3</f>
        <v>42.5</v>
      </c>
      <c r="D56" s="5" t="s">
        <v>38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5" t="s">
        <v>36</v>
      </c>
      <c r="C57" s="2">
        <f>Dashboard!R3</f>
        <v>42.5</v>
      </c>
      <c r="D57" s="5" t="s">
        <v>38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5" t="s">
        <v>37</v>
      </c>
      <c r="C58" s="2">
        <f>Dashboard!R3</f>
        <v>42.5</v>
      </c>
      <c r="D58" s="5" t="s">
        <v>38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A1" s="5" t="s">
        <v>41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 t="s">
        <v>29</v>
      </c>
      <c r="B3" s="9"/>
      <c r="C3" s="9"/>
      <c r="D3" s="9"/>
      <c r="E3" s="9"/>
      <c r="F3" s="9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" t="s">
        <v>30</v>
      </c>
      <c r="B4" s="10" t="s">
        <v>31</v>
      </c>
      <c r="C4" s="10" t="s">
        <v>32</v>
      </c>
      <c r="D4" s="10" t="s">
        <v>12</v>
      </c>
      <c r="E4" s="10" t="s">
        <v>33</v>
      </c>
      <c r="F4" s="10" t="s">
        <v>34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 t="s">
        <v>16</v>
      </c>
      <c r="B5" s="5" t="s">
        <v>35</v>
      </c>
      <c r="C5" s="5">
        <f>Dashboard!B30</f>
        <v>80</v>
      </c>
      <c r="D5" s="5">
        <v>6.0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5" t="s">
        <v>36</v>
      </c>
      <c r="C6" s="5">
        <f>Dashboard!B30</f>
        <v>80</v>
      </c>
      <c r="D6" s="5">
        <v>6.0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5" t="s">
        <v>37</v>
      </c>
      <c r="C7" s="5">
        <f>Dashboard!B30</f>
        <v>80</v>
      </c>
      <c r="D7" s="5">
        <v>6.0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5" t="s">
        <v>19</v>
      </c>
      <c r="B9" s="5" t="s">
        <v>35</v>
      </c>
      <c r="C9" s="5">
        <f>Dashboard!C30</f>
        <v>35</v>
      </c>
      <c r="D9" s="5">
        <v>6.0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5" t="s">
        <v>36</v>
      </c>
      <c r="C10" s="5">
        <f>Dashboard!C30</f>
        <v>35</v>
      </c>
      <c r="D10" s="5">
        <v>6.0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5" t="s">
        <v>37</v>
      </c>
      <c r="C11" s="5">
        <f>Dashboard!C30</f>
        <v>35</v>
      </c>
      <c r="D11" s="5">
        <v>6.0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5" t="s">
        <v>20</v>
      </c>
      <c r="B13" s="5" t="s">
        <v>35</v>
      </c>
      <c r="C13" s="5">
        <f>Dashboard!D30</f>
        <v>25</v>
      </c>
      <c r="D13" s="5">
        <v>6.0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5" t="s">
        <v>36</v>
      </c>
      <c r="C14" s="5">
        <f>Dashboard!D30</f>
        <v>25</v>
      </c>
      <c r="D14" s="5">
        <v>6.0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5" t="s">
        <v>37</v>
      </c>
      <c r="C15" s="5">
        <f>Dashboard!D30</f>
        <v>25</v>
      </c>
      <c r="D15" s="5">
        <v>6.0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5" t="s">
        <v>2</v>
      </c>
      <c r="B17" s="5" t="s">
        <v>35</v>
      </c>
      <c r="C17" s="2">
        <f>Dashboard!K4</f>
        <v>45</v>
      </c>
      <c r="D17" s="5" t="s">
        <v>38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5" t="s">
        <v>36</v>
      </c>
      <c r="C18" s="2">
        <f>Dashboard!K4</f>
        <v>45</v>
      </c>
      <c r="D18" s="5" t="s">
        <v>38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5" t="s">
        <v>37</v>
      </c>
      <c r="C19" s="2">
        <f>Dashboard!K4</f>
        <v>45</v>
      </c>
      <c r="D19" s="5" t="s">
        <v>38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5" t="s">
        <v>3</v>
      </c>
      <c r="B21" s="5" t="s">
        <v>35</v>
      </c>
      <c r="C21" s="2">
        <f>Dashboard!L4</f>
        <v>45</v>
      </c>
      <c r="D21" s="5" t="s">
        <v>38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5" t="s">
        <v>36</v>
      </c>
      <c r="C22" s="2">
        <f>Dashboard!L4</f>
        <v>45</v>
      </c>
      <c r="D22" s="5" t="s">
        <v>38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5" t="s">
        <v>37</v>
      </c>
      <c r="C23" s="2">
        <f>Dashboard!L4</f>
        <v>45</v>
      </c>
      <c r="D23" s="5" t="s">
        <v>38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5" t="s">
        <v>4</v>
      </c>
      <c r="B25" s="5" t="s">
        <v>35</v>
      </c>
      <c r="C25" s="2">
        <f>Dashboard!M4</f>
        <v>45</v>
      </c>
      <c r="D25" s="5" t="s">
        <v>38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5" t="s">
        <v>36</v>
      </c>
      <c r="C26" s="2">
        <f>Dashboard!M4</f>
        <v>45</v>
      </c>
      <c r="D26" s="5" t="s">
        <v>38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5" t="s">
        <v>37</v>
      </c>
      <c r="C27" s="2">
        <f>Dashboard!M4</f>
        <v>45</v>
      </c>
      <c r="D27" s="5" t="s">
        <v>38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1" t="s">
        <v>39</v>
      </c>
      <c r="B30" s="11"/>
      <c r="C30" s="11"/>
      <c r="D30" s="11"/>
      <c r="E30" s="11"/>
      <c r="F30" s="11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0" t="s">
        <v>30</v>
      </c>
      <c r="B31" s="10" t="s">
        <v>31</v>
      </c>
      <c r="C31" s="10" t="s">
        <v>32</v>
      </c>
      <c r="D31" s="10" t="s">
        <v>12</v>
      </c>
      <c r="E31" s="10" t="s">
        <v>33</v>
      </c>
      <c r="F31" s="10" t="s">
        <v>34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5" t="s">
        <v>21</v>
      </c>
      <c r="B32" s="5" t="s">
        <v>35</v>
      </c>
      <c r="C32" s="5">
        <f>Dashboard!E30</f>
        <v>110</v>
      </c>
      <c r="D32" s="5">
        <v>6.0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5" t="s">
        <v>36</v>
      </c>
      <c r="C33" s="5">
        <f>Dashboard!E30</f>
        <v>110</v>
      </c>
      <c r="D33" s="5">
        <v>6.0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5" t="s">
        <v>37</v>
      </c>
      <c r="C34" s="5">
        <f>Dashboard!E30</f>
        <v>110</v>
      </c>
      <c r="D34" s="5">
        <v>6.0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5" t="s">
        <v>5</v>
      </c>
      <c r="B36" s="5" t="s">
        <v>35</v>
      </c>
      <c r="C36" s="2">
        <f>Dashboard!N4</f>
        <v>45</v>
      </c>
      <c r="D36" s="5" t="s">
        <v>38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5" t="s">
        <v>36</v>
      </c>
      <c r="C37" s="2">
        <f>Dashboard!N4</f>
        <v>45</v>
      </c>
      <c r="D37" s="5" t="s">
        <v>38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5" t="s">
        <v>37</v>
      </c>
      <c r="C38" s="2">
        <f>Dashboard!N4</f>
        <v>45</v>
      </c>
      <c r="D38" s="5" t="s">
        <v>38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5" t="s">
        <v>6</v>
      </c>
      <c r="B40" s="5" t="s">
        <v>35</v>
      </c>
      <c r="C40" s="2">
        <f>Dashboard!O4</f>
        <v>45</v>
      </c>
      <c r="D40" s="5" t="s">
        <v>38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5" t="s">
        <v>36</v>
      </c>
      <c r="C41" s="2">
        <f>Dashboard!O4</f>
        <v>45</v>
      </c>
      <c r="D41" s="5" t="s">
        <v>38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5" t="s">
        <v>37</v>
      </c>
      <c r="C42" s="2">
        <f>Dashboard!O4</f>
        <v>45</v>
      </c>
      <c r="D42" s="5" t="s">
        <v>38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5" t="s">
        <v>40</v>
      </c>
      <c r="B44" s="5" t="s">
        <v>35</v>
      </c>
      <c r="C44" s="2"/>
      <c r="D44" s="5" t="s">
        <v>38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5" t="s">
        <v>36</v>
      </c>
      <c r="C45" s="2"/>
      <c r="D45" s="5" t="s">
        <v>38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5" t="s">
        <v>37</v>
      </c>
      <c r="C46" s="2"/>
      <c r="D46" s="5" t="s">
        <v>38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5" t="s">
        <v>7</v>
      </c>
      <c r="B48" s="5" t="s">
        <v>35</v>
      </c>
      <c r="C48" s="2">
        <f>Dashboard!P4</f>
        <v>45</v>
      </c>
      <c r="D48" s="5" t="s">
        <v>38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5" t="s">
        <v>36</v>
      </c>
      <c r="C49" s="2">
        <f>Dashboard!P4</f>
        <v>45</v>
      </c>
      <c r="D49" s="5" t="s">
        <v>38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5" t="s">
        <v>37</v>
      </c>
      <c r="C50" s="2">
        <f>Dashboard!P4</f>
        <v>45</v>
      </c>
      <c r="D50" s="5" t="s">
        <v>38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5" t="s">
        <v>8</v>
      </c>
      <c r="B52" s="5" t="s">
        <v>35</v>
      </c>
      <c r="C52" s="2">
        <f>Dashboard!Q4</f>
        <v>45</v>
      </c>
      <c r="D52" s="5" t="s">
        <v>38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5" t="s">
        <v>36</v>
      </c>
      <c r="C53" s="2">
        <f>Dashboard!Q4</f>
        <v>45</v>
      </c>
      <c r="D53" s="5" t="s">
        <v>38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5" t="s">
        <v>37</v>
      </c>
      <c r="C54" s="2">
        <f>Dashboard!Q4</f>
        <v>45</v>
      </c>
      <c r="D54" s="5" t="s">
        <v>38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5" t="s">
        <v>9</v>
      </c>
      <c r="B56" s="5" t="s">
        <v>35</v>
      </c>
      <c r="C56" s="2">
        <f>Dashboard!R4</f>
        <v>45</v>
      </c>
      <c r="D56" s="5" t="s">
        <v>38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5" t="s">
        <v>36</v>
      </c>
      <c r="C57" s="2">
        <f>Dashboard!R4</f>
        <v>45</v>
      </c>
      <c r="D57" s="5" t="s">
        <v>38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5" t="s">
        <v>37</v>
      </c>
      <c r="C58" s="2">
        <f>Dashboard!R4</f>
        <v>45</v>
      </c>
      <c r="D58" s="5" t="s">
        <v>38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A1" s="5" t="s">
        <v>42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 t="s">
        <v>29</v>
      </c>
      <c r="B3" s="9"/>
      <c r="C3" s="9"/>
      <c r="D3" s="9"/>
      <c r="E3" s="9"/>
      <c r="F3" s="9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" t="s">
        <v>30</v>
      </c>
      <c r="B4" s="10" t="s">
        <v>31</v>
      </c>
      <c r="C4" s="10" t="s">
        <v>32</v>
      </c>
      <c r="D4" s="10" t="s">
        <v>12</v>
      </c>
      <c r="E4" s="10" t="s">
        <v>33</v>
      </c>
      <c r="F4" s="10" t="s">
        <v>34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 t="s">
        <v>16</v>
      </c>
      <c r="B5" s="5" t="s">
        <v>35</v>
      </c>
      <c r="C5" s="5">
        <f>Dashboard!B32</f>
        <v>80</v>
      </c>
      <c r="D5" s="5">
        <v>5.0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5" t="s">
        <v>36</v>
      </c>
      <c r="C6" s="5">
        <f>Dashboard!B32</f>
        <v>80</v>
      </c>
      <c r="D6" s="5">
        <v>5.0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5" t="s">
        <v>37</v>
      </c>
      <c r="C7" s="5">
        <f>Dashboard!B32</f>
        <v>80</v>
      </c>
      <c r="D7" s="5">
        <v>5.0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5" t="s">
        <v>19</v>
      </c>
      <c r="B9" s="5" t="s">
        <v>35</v>
      </c>
      <c r="C9" s="5">
        <f>Dashboard!C32</f>
        <v>35</v>
      </c>
      <c r="D9" s="5">
        <v>5.0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5" t="s">
        <v>36</v>
      </c>
      <c r="C10" s="5">
        <f>Dashboard!C32</f>
        <v>35</v>
      </c>
      <c r="D10" s="5">
        <v>5.0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5" t="s">
        <v>37</v>
      </c>
      <c r="C11" s="5">
        <f>Dashboard!C32</f>
        <v>35</v>
      </c>
      <c r="D11" s="5">
        <v>5.0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5" t="s">
        <v>20</v>
      </c>
      <c r="B13" s="5" t="s">
        <v>35</v>
      </c>
      <c r="C13" s="5">
        <f>Dashboard!D32</f>
        <v>25</v>
      </c>
      <c r="D13" s="5">
        <v>5.0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5" t="s">
        <v>36</v>
      </c>
      <c r="C14" s="5">
        <f>Dashboard!D32</f>
        <v>25</v>
      </c>
      <c r="D14" s="5">
        <v>5.0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5" t="s">
        <v>37</v>
      </c>
      <c r="C15" s="5">
        <f>Dashboard!D32</f>
        <v>25</v>
      </c>
      <c r="D15" s="5">
        <v>5.0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5" t="s">
        <v>2</v>
      </c>
      <c r="B17" s="5" t="s">
        <v>35</v>
      </c>
      <c r="C17" s="2">
        <f>Dashboard!K5</f>
        <v>45</v>
      </c>
      <c r="D17" s="5" t="s">
        <v>38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5" t="s">
        <v>36</v>
      </c>
      <c r="C18" s="2">
        <f>Dashboard!K5</f>
        <v>45</v>
      </c>
      <c r="D18" s="5" t="s">
        <v>38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5" t="s">
        <v>37</v>
      </c>
      <c r="C19" s="2">
        <f>Dashboard!K5</f>
        <v>45</v>
      </c>
      <c r="D19" s="5" t="s">
        <v>38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5" t="s">
        <v>3</v>
      </c>
      <c r="B21" s="5" t="s">
        <v>35</v>
      </c>
      <c r="C21" s="2">
        <f>Dashboard!L5</f>
        <v>45</v>
      </c>
      <c r="D21" s="5" t="s">
        <v>38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5" t="s">
        <v>36</v>
      </c>
      <c r="C22" s="2">
        <f>Dashboard!L5</f>
        <v>45</v>
      </c>
      <c r="D22" s="5" t="s">
        <v>38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5" t="s">
        <v>37</v>
      </c>
      <c r="C23" s="2">
        <f>Dashboard!L5</f>
        <v>45</v>
      </c>
      <c r="D23" s="5" t="s">
        <v>38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5" t="s">
        <v>4</v>
      </c>
      <c r="B25" s="5" t="s">
        <v>35</v>
      </c>
      <c r="C25" s="2">
        <f>Dashboard!M5</f>
        <v>45</v>
      </c>
      <c r="D25" s="5" t="s">
        <v>38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5" t="s">
        <v>36</v>
      </c>
      <c r="C26" s="2">
        <f>Dashboard!M5</f>
        <v>45</v>
      </c>
      <c r="D26" s="5" t="s">
        <v>38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5" t="s">
        <v>37</v>
      </c>
      <c r="C27" s="2">
        <f>Dashboard!M5</f>
        <v>45</v>
      </c>
      <c r="D27" s="5" t="s">
        <v>38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1" t="s">
        <v>39</v>
      </c>
      <c r="B30" s="11"/>
      <c r="C30" s="11"/>
      <c r="D30" s="11"/>
      <c r="E30" s="11"/>
      <c r="F30" s="11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0" t="s">
        <v>30</v>
      </c>
      <c r="B31" s="10" t="s">
        <v>31</v>
      </c>
      <c r="C31" s="10" t="s">
        <v>32</v>
      </c>
      <c r="D31" s="10" t="s">
        <v>12</v>
      </c>
      <c r="E31" s="10" t="s">
        <v>33</v>
      </c>
      <c r="F31" s="10" t="s">
        <v>34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5" t="s">
        <v>21</v>
      </c>
      <c r="B32" s="5" t="s">
        <v>35</v>
      </c>
      <c r="C32" s="5">
        <f>Dashboard!E32</f>
        <v>110</v>
      </c>
      <c r="D32" s="5">
        <v>5.0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5" t="s">
        <v>36</v>
      </c>
      <c r="C33" s="5">
        <f>Dashboard!E32</f>
        <v>110</v>
      </c>
      <c r="D33" s="5">
        <v>5.0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5" t="s">
        <v>37</v>
      </c>
      <c r="C34" s="5">
        <f>Dashboard!E32</f>
        <v>110</v>
      </c>
      <c r="D34" s="5">
        <v>5.0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5" t="s">
        <v>5</v>
      </c>
      <c r="B36" s="5" t="s">
        <v>35</v>
      </c>
      <c r="C36" s="2">
        <f>Dashboard!N5</f>
        <v>45</v>
      </c>
      <c r="D36" s="5" t="s">
        <v>38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5" t="s">
        <v>36</v>
      </c>
      <c r="C37" s="2">
        <f>Dashboard!N5</f>
        <v>45</v>
      </c>
      <c r="D37" s="5" t="s">
        <v>38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5" t="s">
        <v>37</v>
      </c>
      <c r="C38" s="2">
        <f>Dashboard!N5</f>
        <v>45</v>
      </c>
      <c r="D38" s="5" t="s">
        <v>38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5" t="s">
        <v>6</v>
      </c>
      <c r="B40" s="5" t="s">
        <v>35</v>
      </c>
      <c r="C40" s="2">
        <f>Dashboard!O5</f>
        <v>45</v>
      </c>
      <c r="D40" s="5" t="s">
        <v>38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5" t="s">
        <v>36</v>
      </c>
      <c r="C41" s="2">
        <f>Dashboard!O5</f>
        <v>45</v>
      </c>
      <c r="D41" s="5" t="s">
        <v>38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5" t="s">
        <v>37</v>
      </c>
      <c r="C42" s="2">
        <f>Dashboard!O5</f>
        <v>45</v>
      </c>
      <c r="D42" s="5" t="s">
        <v>38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5" t="s">
        <v>40</v>
      </c>
      <c r="B44" s="5" t="s">
        <v>35</v>
      </c>
      <c r="C44" s="2"/>
      <c r="D44" s="5" t="s">
        <v>38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5" t="s">
        <v>36</v>
      </c>
      <c r="C45" s="2"/>
      <c r="D45" s="5" t="s">
        <v>38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5" t="s">
        <v>37</v>
      </c>
      <c r="C46" s="2"/>
      <c r="D46" s="5" t="s">
        <v>38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5" t="s">
        <v>7</v>
      </c>
      <c r="B48" s="5" t="s">
        <v>35</v>
      </c>
      <c r="C48" s="2">
        <f>Dashboard!P5</f>
        <v>45</v>
      </c>
      <c r="D48" s="5" t="s">
        <v>38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5" t="s">
        <v>36</v>
      </c>
      <c r="C49" s="2">
        <f>Dashboard!P5</f>
        <v>45</v>
      </c>
      <c r="D49" s="5" t="s">
        <v>38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5" t="s">
        <v>37</v>
      </c>
      <c r="C50" s="2">
        <f>Dashboard!P5</f>
        <v>45</v>
      </c>
      <c r="D50" s="5" t="s">
        <v>38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5" t="s">
        <v>8</v>
      </c>
      <c r="B52" s="5" t="s">
        <v>35</v>
      </c>
      <c r="C52" s="2">
        <f>Dashboard!Q5</f>
        <v>45</v>
      </c>
      <c r="D52" s="5" t="s">
        <v>38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5" t="s">
        <v>36</v>
      </c>
      <c r="C53" s="2">
        <f>Dashboard!Q5</f>
        <v>45</v>
      </c>
      <c r="D53" s="5" t="s">
        <v>38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5" t="s">
        <v>37</v>
      </c>
      <c r="C54" s="2">
        <f>Dashboard!Q5</f>
        <v>45</v>
      </c>
      <c r="D54" s="5" t="s">
        <v>38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5" t="s">
        <v>9</v>
      </c>
      <c r="B56" s="5" t="s">
        <v>35</v>
      </c>
      <c r="C56" s="2">
        <f>Dashboard!R5</f>
        <v>45</v>
      </c>
      <c r="D56" s="5" t="s">
        <v>38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5" t="s">
        <v>36</v>
      </c>
      <c r="C57" s="2">
        <f>Dashboard!R5</f>
        <v>45</v>
      </c>
      <c r="D57" s="5" t="s">
        <v>38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5" t="s">
        <v>37</v>
      </c>
      <c r="C58" s="2">
        <f>Dashboard!R5</f>
        <v>45</v>
      </c>
      <c r="D58" s="5" t="s">
        <v>38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A1" s="5" t="s">
        <v>43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 t="s">
        <v>29</v>
      </c>
      <c r="B3" s="9"/>
      <c r="C3" s="9"/>
      <c r="D3" s="9"/>
      <c r="E3" s="9"/>
      <c r="F3" s="9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" t="s">
        <v>30</v>
      </c>
      <c r="B4" s="10" t="s">
        <v>31</v>
      </c>
      <c r="C4" s="10" t="s">
        <v>32</v>
      </c>
      <c r="D4" s="10" t="s">
        <v>12</v>
      </c>
      <c r="E4" s="10" t="s">
        <v>33</v>
      </c>
      <c r="F4" s="10" t="s">
        <v>34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 t="s">
        <v>16</v>
      </c>
      <c r="B5" s="5" t="s">
        <v>35</v>
      </c>
      <c r="C5" s="5">
        <f>Dashboard!B33</f>
        <v>85</v>
      </c>
      <c r="D5" s="5">
        <v>3.0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5" t="s">
        <v>36</v>
      </c>
      <c r="C6" s="5">
        <f>Dashboard!B33</f>
        <v>85</v>
      </c>
      <c r="D6" s="5">
        <v>3.0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5" t="s">
        <v>37</v>
      </c>
      <c r="C7" s="5">
        <f>Dashboard!B33</f>
        <v>85</v>
      </c>
      <c r="D7" s="5">
        <v>3.0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5" t="s">
        <v>44</v>
      </c>
      <c r="C8" s="5">
        <f>Dashboard!B33</f>
        <v>85</v>
      </c>
      <c r="D8" s="5">
        <v>3.0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5" t="s">
        <v>19</v>
      </c>
      <c r="B10" s="5" t="s">
        <v>35</v>
      </c>
      <c r="C10" s="5">
        <f>Dashboard!C33</f>
        <v>35</v>
      </c>
      <c r="D10" s="5">
        <v>3.0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5" t="s">
        <v>36</v>
      </c>
      <c r="C11" s="5">
        <f>Dashboard!C33</f>
        <v>35</v>
      </c>
      <c r="D11" s="5">
        <v>3.0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5" t="s">
        <v>37</v>
      </c>
      <c r="C12" s="5">
        <f>Dashboard!C33</f>
        <v>35</v>
      </c>
      <c r="D12" s="5">
        <v>3.0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5" t="s">
        <v>44</v>
      </c>
      <c r="C13" s="5">
        <f>Dashboard!C33</f>
        <v>35</v>
      </c>
      <c r="D13" s="5">
        <v>3.0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5" t="s">
        <v>20</v>
      </c>
      <c r="B15" s="5" t="s">
        <v>35</v>
      </c>
      <c r="C15" s="5">
        <f>Dashboard!D33</f>
        <v>25</v>
      </c>
      <c r="D15" s="5">
        <v>3.0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5" t="s">
        <v>36</v>
      </c>
      <c r="C16" s="5">
        <f>Dashboard!D33</f>
        <v>25</v>
      </c>
      <c r="D16" s="5">
        <v>3.0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5" t="s">
        <v>37</v>
      </c>
      <c r="C17" s="5">
        <f>Dashboard!D33</f>
        <v>25</v>
      </c>
      <c r="D17" s="5">
        <v>3.0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5" t="s">
        <v>44</v>
      </c>
      <c r="C18" s="5">
        <f>Dashboard!D33</f>
        <v>25</v>
      </c>
      <c r="D18" s="5">
        <v>3.0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5" t="s">
        <v>2</v>
      </c>
      <c r="B20" s="5" t="s">
        <v>35</v>
      </c>
      <c r="C20" s="2">
        <f>Dashboard!K6</f>
        <v>47.5</v>
      </c>
      <c r="D20" s="5" t="s">
        <v>38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5" t="s">
        <v>36</v>
      </c>
      <c r="C21" s="2">
        <f>Dashboard!K6</f>
        <v>47.5</v>
      </c>
      <c r="D21" s="5" t="s">
        <v>38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5" t="s">
        <v>37</v>
      </c>
      <c r="C22" s="2">
        <f>Dashboard!K6</f>
        <v>47.5</v>
      </c>
      <c r="D22" s="5" t="s">
        <v>38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5" t="s">
        <v>3</v>
      </c>
      <c r="B24" s="5" t="s">
        <v>35</v>
      </c>
      <c r="C24" s="2">
        <f>Dashboard!L6</f>
        <v>47.5</v>
      </c>
      <c r="D24" s="5" t="s">
        <v>38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5" t="s">
        <v>36</v>
      </c>
      <c r="C25" s="2">
        <f>Dashboard!L6</f>
        <v>47.5</v>
      </c>
      <c r="D25" s="5" t="s">
        <v>38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5" t="s">
        <v>37</v>
      </c>
      <c r="C26" s="2">
        <f>Dashboard!L6</f>
        <v>47.5</v>
      </c>
      <c r="D26" s="5" t="s">
        <v>38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5" t="s">
        <v>4</v>
      </c>
      <c r="B28" s="5" t="s">
        <v>35</v>
      </c>
      <c r="C28" s="2">
        <f>Dashboard!M6</f>
        <v>47.5</v>
      </c>
      <c r="D28" s="5" t="s">
        <v>38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5" t="s">
        <v>36</v>
      </c>
      <c r="C29" s="2">
        <f>Dashboard!M6</f>
        <v>47.5</v>
      </c>
      <c r="D29" s="5" t="s">
        <v>38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5" t="s">
        <v>37</v>
      </c>
      <c r="C30" s="2">
        <f>Dashboard!M6</f>
        <v>47.5</v>
      </c>
      <c r="D30" s="5" t="s">
        <v>38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11" t="s">
        <v>39</v>
      </c>
      <c r="B33" s="11"/>
      <c r="C33" s="11"/>
      <c r="D33" s="11"/>
      <c r="E33" s="11"/>
      <c r="F33" s="11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10" t="s">
        <v>30</v>
      </c>
      <c r="B34" s="10" t="s">
        <v>31</v>
      </c>
      <c r="C34" s="10" t="s">
        <v>32</v>
      </c>
      <c r="D34" s="10" t="s">
        <v>12</v>
      </c>
      <c r="E34" s="10" t="s">
        <v>33</v>
      </c>
      <c r="F34" s="10" t="s">
        <v>34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5" t="s">
        <v>21</v>
      </c>
      <c r="B35" s="5" t="s">
        <v>35</v>
      </c>
      <c r="C35" s="5">
        <f>Dashboard!E33</f>
        <v>115</v>
      </c>
      <c r="D35" s="5">
        <v>3.0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5" t="s">
        <v>36</v>
      </c>
      <c r="C36" s="5">
        <f>Dashboard!E33</f>
        <v>115</v>
      </c>
      <c r="D36" s="5">
        <v>3.0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5" t="s">
        <v>37</v>
      </c>
      <c r="C37" s="5">
        <f>Dashboard!E33</f>
        <v>115</v>
      </c>
      <c r="D37" s="5">
        <v>3.0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5" t="s">
        <v>44</v>
      </c>
      <c r="C38" s="5">
        <f>Dashboard!E33</f>
        <v>115</v>
      </c>
      <c r="D38" s="5">
        <v>3.0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5" t="s">
        <v>5</v>
      </c>
      <c r="B40" s="5" t="s">
        <v>35</v>
      </c>
      <c r="C40" s="2">
        <f>Dashboard!N6</f>
        <v>47.5</v>
      </c>
      <c r="D40" s="5" t="s">
        <v>38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5" t="s">
        <v>36</v>
      </c>
      <c r="C41" s="2">
        <f>Dashboard!N6</f>
        <v>47.5</v>
      </c>
      <c r="D41" s="5" t="s">
        <v>38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5" t="s">
        <v>37</v>
      </c>
      <c r="C42" s="2">
        <f>Dashboard!N6</f>
        <v>47.5</v>
      </c>
      <c r="D42" s="5" t="s">
        <v>38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5" t="s">
        <v>6</v>
      </c>
      <c r="B44" s="5" t="s">
        <v>35</v>
      </c>
      <c r="C44" s="2">
        <f>Dashboard!O6</f>
        <v>47.5</v>
      </c>
      <c r="D44" s="5" t="s">
        <v>38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5" t="s">
        <v>36</v>
      </c>
      <c r="C45" s="2">
        <f>Dashboard!O6</f>
        <v>47.5</v>
      </c>
      <c r="D45" s="5" t="s">
        <v>38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5" t="s">
        <v>37</v>
      </c>
      <c r="C46" s="2">
        <f>Dashboard!O6</f>
        <v>47.5</v>
      </c>
      <c r="D46" s="5" t="s">
        <v>38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5" t="s">
        <v>40</v>
      </c>
      <c r="B48" s="5" t="s">
        <v>35</v>
      </c>
      <c r="C48" s="2"/>
      <c r="D48" s="5" t="s">
        <v>38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5" t="s">
        <v>36</v>
      </c>
      <c r="C49" s="2"/>
      <c r="D49" s="5" t="s">
        <v>38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5" t="s">
        <v>37</v>
      </c>
      <c r="C50" s="2"/>
      <c r="D50" s="5" t="s">
        <v>38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5" t="s">
        <v>7</v>
      </c>
      <c r="B52" s="5" t="s">
        <v>35</v>
      </c>
      <c r="C52" s="2">
        <f>Dashboard!P6</f>
        <v>47.5</v>
      </c>
      <c r="D52" s="5" t="s">
        <v>38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5" t="s">
        <v>36</v>
      </c>
      <c r="C53" s="2">
        <f>Dashboard!P6</f>
        <v>47.5</v>
      </c>
      <c r="D53" s="5" t="s">
        <v>38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5" t="s">
        <v>37</v>
      </c>
      <c r="C54" s="2">
        <f>Dashboard!P6</f>
        <v>47.5</v>
      </c>
      <c r="D54" s="5" t="s">
        <v>38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5" t="s">
        <v>8</v>
      </c>
      <c r="B56" s="5" t="s">
        <v>35</v>
      </c>
      <c r="C56" s="2">
        <f>Dashboard!Q6</f>
        <v>47.5</v>
      </c>
      <c r="D56" s="5" t="s">
        <v>38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5" t="s">
        <v>36</v>
      </c>
      <c r="C57" s="2">
        <f>Dashboard!Q6</f>
        <v>47.5</v>
      </c>
      <c r="D57" s="5" t="s">
        <v>38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5" t="s">
        <v>37</v>
      </c>
      <c r="C58" s="2">
        <f>Dashboard!Q6</f>
        <v>47.5</v>
      </c>
      <c r="D58" s="5" t="s">
        <v>38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5" t="s">
        <v>9</v>
      </c>
      <c r="B60" s="5" t="s">
        <v>35</v>
      </c>
      <c r="C60" s="2">
        <f>Dashboard!R6</f>
        <v>47.5</v>
      </c>
      <c r="D60" s="5" t="s">
        <v>38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5" t="s">
        <v>36</v>
      </c>
      <c r="C61" s="2">
        <f>Dashboard!R6</f>
        <v>47.5</v>
      </c>
      <c r="D61" s="5" t="s">
        <v>38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5" t="s">
        <v>37</v>
      </c>
      <c r="C62" s="2">
        <f>Dashboard!R6</f>
        <v>47.5</v>
      </c>
      <c r="D62" s="5" t="s">
        <v>38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A1" s="5" t="s">
        <v>45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 t="s">
        <v>29</v>
      </c>
      <c r="B3" s="9"/>
      <c r="C3" s="9"/>
      <c r="D3" s="9"/>
      <c r="E3" s="9"/>
      <c r="F3" s="9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" t="s">
        <v>30</v>
      </c>
      <c r="B4" s="10" t="s">
        <v>31</v>
      </c>
      <c r="C4" s="10" t="s">
        <v>32</v>
      </c>
      <c r="D4" s="10" t="s">
        <v>12</v>
      </c>
      <c r="E4" s="10" t="s">
        <v>33</v>
      </c>
      <c r="F4" s="10" t="s">
        <v>34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 t="s">
        <v>16</v>
      </c>
      <c r="B5" s="5" t="s">
        <v>35</v>
      </c>
      <c r="C5" s="5">
        <f>Dashboard!B35</f>
        <v>85</v>
      </c>
      <c r="D5" s="5">
        <v>12.0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5" t="s">
        <v>36</v>
      </c>
      <c r="C6" s="5">
        <f>Dashboard!B35</f>
        <v>85</v>
      </c>
      <c r="D6" s="5">
        <v>12.0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5" t="s">
        <v>37</v>
      </c>
      <c r="C7" s="5">
        <f>Dashboard!B35</f>
        <v>85</v>
      </c>
      <c r="D7" s="5">
        <v>12.0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5" t="s">
        <v>19</v>
      </c>
      <c r="B9" s="5" t="s">
        <v>35</v>
      </c>
      <c r="C9" s="5">
        <f>Dashboard!C35</f>
        <v>35</v>
      </c>
      <c r="D9" s="5">
        <v>12.0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5" t="s">
        <v>36</v>
      </c>
      <c r="C10" s="5">
        <f>Dashboard!C35</f>
        <v>35</v>
      </c>
      <c r="D10" s="5">
        <v>12.0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5" t="s">
        <v>37</v>
      </c>
      <c r="C11" s="5">
        <f>Dashboard!C35</f>
        <v>35</v>
      </c>
      <c r="D11" s="5">
        <v>12.0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5" t="s">
        <v>20</v>
      </c>
      <c r="B13" s="5" t="s">
        <v>35</v>
      </c>
      <c r="C13" s="5">
        <f>Dashboard!D35</f>
        <v>25</v>
      </c>
      <c r="D13" s="5">
        <v>12.0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5" t="s">
        <v>36</v>
      </c>
      <c r="C14" s="5">
        <f>Dashboard!D35</f>
        <v>25</v>
      </c>
      <c r="D14" s="5">
        <v>12.0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5" t="s">
        <v>37</v>
      </c>
      <c r="C15" s="5">
        <f>Dashboard!D35</f>
        <v>25</v>
      </c>
      <c r="D15" s="5">
        <v>12.0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5" t="s">
        <v>2</v>
      </c>
      <c r="B17" s="5" t="s">
        <v>35</v>
      </c>
      <c r="C17" s="2">
        <f>Dashboard!K3</f>
        <v>42.5</v>
      </c>
      <c r="D17" s="5" t="s">
        <v>38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5" t="s">
        <v>36</v>
      </c>
      <c r="C18" s="2">
        <f>Dashboard!K3</f>
        <v>42.5</v>
      </c>
      <c r="D18" s="5" t="s">
        <v>38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5" t="s">
        <v>37</v>
      </c>
      <c r="C19" s="2">
        <f>Dashboard!K3</f>
        <v>42.5</v>
      </c>
      <c r="D19" s="5" t="s">
        <v>38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5" t="s">
        <v>3</v>
      </c>
      <c r="B21" s="5" t="s">
        <v>35</v>
      </c>
      <c r="C21" s="2">
        <f>Dashboard!L3</f>
        <v>42.5</v>
      </c>
      <c r="D21" s="5" t="s">
        <v>38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5" t="s">
        <v>36</v>
      </c>
      <c r="C22" s="2">
        <f>Dashboard!L3</f>
        <v>42.5</v>
      </c>
      <c r="D22" s="5" t="s">
        <v>38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5" t="s">
        <v>37</v>
      </c>
      <c r="C23" s="2">
        <f>Dashboard!L3</f>
        <v>42.5</v>
      </c>
      <c r="D23" s="5" t="s">
        <v>38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5" t="s">
        <v>4</v>
      </c>
      <c r="B25" s="5" t="s">
        <v>35</v>
      </c>
      <c r="C25" s="2">
        <f>Dashboard!M3</f>
        <v>42.5</v>
      </c>
      <c r="D25" s="5" t="s">
        <v>38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5" t="s">
        <v>36</v>
      </c>
      <c r="C26" s="2">
        <f>Dashboard!M3</f>
        <v>42.5</v>
      </c>
      <c r="D26" s="5" t="s">
        <v>38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5" t="s">
        <v>37</v>
      </c>
      <c r="C27" s="2">
        <f>Dashboard!M3</f>
        <v>42.5</v>
      </c>
      <c r="D27" s="5" t="s">
        <v>38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1" t="s">
        <v>39</v>
      </c>
      <c r="B30" s="11"/>
      <c r="C30" s="11"/>
      <c r="D30" s="11"/>
      <c r="E30" s="11"/>
      <c r="F30" s="11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0" t="s">
        <v>30</v>
      </c>
      <c r="B31" s="10" t="s">
        <v>31</v>
      </c>
      <c r="C31" s="10" t="s">
        <v>32</v>
      </c>
      <c r="D31" s="10" t="s">
        <v>12</v>
      </c>
      <c r="E31" s="10" t="s">
        <v>33</v>
      </c>
      <c r="F31" s="10" t="s">
        <v>34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5" t="s">
        <v>21</v>
      </c>
      <c r="B32" s="5" t="s">
        <v>35</v>
      </c>
      <c r="C32" s="5">
        <f>Dashboard!E35</f>
        <v>120</v>
      </c>
      <c r="D32" s="5">
        <v>12.0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5" t="s">
        <v>36</v>
      </c>
      <c r="C33" s="5">
        <f>Dashboard!E35</f>
        <v>120</v>
      </c>
      <c r="D33" s="5">
        <v>12.0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5" t="s">
        <v>37</v>
      </c>
      <c r="C34" s="5">
        <f>Dashboard!E35</f>
        <v>120</v>
      </c>
      <c r="D34" s="5">
        <v>12.0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5" t="s">
        <v>5</v>
      </c>
      <c r="B36" s="5" t="s">
        <v>35</v>
      </c>
      <c r="C36" s="2">
        <f>Dashboard!N3</f>
        <v>42.5</v>
      </c>
      <c r="D36" s="5" t="s">
        <v>38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5" t="s">
        <v>36</v>
      </c>
      <c r="C37" s="2">
        <f>Dashboard!N3</f>
        <v>42.5</v>
      </c>
      <c r="D37" s="5" t="s">
        <v>38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5" t="s">
        <v>37</v>
      </c>
      <c r="C38" s="2">
        <f>Dashboard!N3</f>
        <v>42.5</v>
      </c>
      <c r="D38" s="5" t="s">
        <v>38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5" t="s">
        <v>6</v>
      </c>
      <c r="B40" s="5" t="s">
        <v>35</v>
      </c>
      <c r="C40" s="2">
        <f>Dashboard!O3</f>
        <v>42.5</v>
      </c>
      <c r="D40" s="5" t="s">
        <v>38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5" t="s">
        <v>36</v>
      </c>
      <c r="C41" s="2">
        <f>Dashboard!O3</f>
        <v>42.5</v>
      </c>
      <c r="D41" s="5" t="s">
        <v>38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5" t="s">
        <v>37</v>
      </c>
      <c r="C42" s="2">
        <f>Dashboard!O3</f>
        <v>42.5</v>
      </c>
      <c r="D42" s="5" t="s">
        <v>38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5" t="s">
        <v>40</v>
      </c>
      <c r="B44" s="5" t="s">
        <v>35</v>
      </c>
      <c r="C44" s="2"/>
      <c r="D44" s="5" t="s">
        <v>38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5" t="s">
        <v>36</v>
      </c>
      <c r="C45" s="2"/>
      <c r="D45" s="5" t="s">
        <v>38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5" t="s">
        <v>37</v>
      </c>
      <c r="C46" s="2"/>
      <c r="D46" s="5" t="s">
        <v>38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5" t="s">
        <v>7</v>
      </c>
      <c r="B48" s="5" t="s">
        <v>35</v>
      </c>
      <c r="C48" s="2">
        <f>Dashboard!P3</f>
        <v>42.5</v>
      </c>
      <c r="D48" s="5" t="s">
        <v>38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5" t="s">
        <v>36</v>
      </c>
      <c r="C49" s="2">
        <f>Dashboard!P3</f>
        <v>42.5</v>
      </c>
      <c r="D49" s="5" t="s">
        <v>38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5" t="s">
        <v>37</v>
      </c>
      <c r="C50" s="2">
        <f>Dashboard!P3</f>
        <v>42.5</v>
      </c>
      <c r="D50" s="5" t="s">
        <v>38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5" t="s">
        <v>8</v>
      </c>
      <c r="B52" s="5" t="s">
        <v>35</v>
      </c>
      <c r="C52" s="2">
        <f>Dashboard!Q3</f>
        <v>42.5</v>
      </c>
      <c r="D52" s="5" t="s">
        <v>38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5" t="s">
        <v>36</v>
      </c>
      <c r="C53" s="2">
        <f>Dashboard!Q3</f>
        <v>42.5</v>
      </c>
      <c r="D53" s="5" t="s">
        <v>38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5" t="s">
        <v>37</v>
      </c>
      <c r="C54" s="2">
        <f>Dashboard!Q3</f>
        <v>42.5</v>
      </c>
      <c r="D54" s="5" t="s">
        <v>38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5" t="s">
        <v>9</v>
      </c>
      <c r="B56" s="5" t="s">
        <v>35</v>
      </c>
      <c r="C56" s="2">
        <f>Dashboard!R3</f>
        <v>42.5</v>
      </c>
      <c r="D56" s="5" t="s">
        <v>38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5" t="s">
        <v>36</v>
      </c>
      <c r="C57" s="2">
        <f>Dashboard!R3</f>
        <v>42.5</v>
      </c>
      <c r="D57" s="5" t="s">
        <v>38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5" t="s">
        <v>37</v>
      </c>
      <c r="C58" s="2">
        <f>Dashboard!R3</f>
        <v>42.5</v>
      </c>
      <c r="D58" s="5" t="s">
        <v>38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A1" s="5" t="s">
        <v>46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 t="s">
        <v>29</v>
      </c>
      <c r="B3" s="9"/>
      <c r="C3" s="9"/>
      <c r="D3" s="9"/>
      <c r="E3" s="9"/>
      <c r="F3" s="9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" t="s">
        <v>30</v>
      </c>
      <c r="B4" s="10" t="s">
        <v>31</v>
      </c>
      <c r="C4" s="10" t="s">
        <v>32</v>
      </c>
      <c r="D4" s="10" t="s">
        <v>12</v>
      </c>
      <c r="E4" s="10" t="s">
        <v>33</v>
      </c>
      <c r="F4" s="10" t="s">
        <v>34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 t="s">
        <v>16</v>
      </c>
      <c r="B5" s="5" t="s">
        <v>35</v>
      </c>
      <c r="C5" s="5">
        <f>Dashboard!B23</f>
        <v>60</v>
      </c>
      <c r="D5" s="5">
        <v>8.0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5" t="s">
        <v>36</v>
      </c>
      <c r="C6" s="5">
        <f>Dashboard!B23</f>
        <v>60</v>
      </c>
      <c r="D6" s="5">
        <v>8.0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5" t="s">
        <v>37</v>
      </c>
      <c r="C7" s="5">
        <f>Dashboard!B23</f>
        <v>60</v>
      </c>
      <c r="D7" s="5">
        <v>8.0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5" t="s">
        <v>19</v>
      </c>
      <c r="B9" s="5" t="s">
        <v>35</v>
      </c>
      <c r="C9" s="5">
        <f>Dashboard!C23</f>
        <v>25</v>
      </c>
      <c r="D9" s="5">
        <v>8.0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5" t="s">
        <v>36</v>
      </c>
      <c r="C10" s="5">
        <f>Dashboard!C23</f>
        <v>25</v>
      </c>
      <c r="D10" s="5">
        <v>8.0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5" t="s">
        <v>37</v>
      </c>
      <c r="C11" s="5">
        <f>Dashboard!C23</f>
        <v>25</v>
      </c>
      <c r="D11" s="5">
        <v>8.0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5" t="s">
        <v>20</v>
      </c>
      <c r="B13" s="5" t="s">
        <v>35</v>
      </c>
      <c r="C13" s="5">
        <f>Dashboard!D23</f>
        <v>20</v>
      </c>
      <c r="D13" s="5">
        <v>8.0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5" t="s">
        <v>36</v>
      </c>
      <c r="C14" s="5">
        <f>Dashboard!D23</f>
        <v>20</v>
      </c>
      <c r="D14" s="5">
        <v>8.0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5" t="s">
        <v>37</v>
      </c>
      <c r="C15" s="5">
        <f>Dashboard!D23</f>
        <v>20</v>
      </c>
      <c r="D15" s="5">
        <v>8.0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5" t="s">
        <v>2</v>
      </c>
      <c r="B17" s="5" t="s">
        <v>35</v>
      </c>
      <c r="C17" s="2">
        <f>Dashboard!K5</f>
        <v>45</v>
      </c>
      <c r="D17" s="5" t="s">
        <v>38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5" t="s">
        <v>36</v>
      </c>
      <c r="C18" s="2">
        <f>Dashboard!K5</f>
        <v>45</v>
      </c>
      <c r="D18" s="5" t="s">
        <v>38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5" t="s">
        <v>37</v>
      </c>
      <c r="C19" s="2">
        <f>Dashboard!K5</f>
        <v>45</v>
      </c>
      <c r="D19" s="5" t="s">
        <v>38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5" t="s">
        <v>3</v>
      </c>
      <c r="B21" s="5" t="s">
        <v>35</v>
      </c>
      <c r="C21" s="2">
        <f>Dashboard!L5</f>
        <v>45</v>
      </c>
      <c r="D21" s="5" t="s">
        <v>38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5" t="s">
        <v>36</v>
      </c>
      <c r="C22" s="2">
        <f>Dashboard!L5</f>
        <v>45</v>
      </c>
      <c r="D22" s="5" t="s">
        <v>38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5" t="s">
        <v>37</v>
      </c>
      <c r="C23" s="2">
        <f>Dashboard!L5</f>
        <v>45</v>
      </c>
      <c r="D23" s="5" t="s">
        <v>38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5" t="s">
        <v>4</v>
      </c>
      <c r="B25" s="5" t="s">
        <v>35</v>
      </c>
      <c r="C25" s="2">
        <f>Dashboard!M5</f>
        <v>45</v>
      </c>
      <c r="D25" s="5" t="s">
        <v>38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5" t="s">
        <v>36</v>
      </c>
      <c r="C26" s="2">
        <f>Dashboard!M5</f>
        <v>45</v>
      </c>
      <c r="D26" s="5" t="s">
        <v>38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5" t="s">
        <v>37</v>
      </c>
      <c r="C27" s="2">
        <f>Dashboard!M5</f>
        <v>45</v>
      </c>
      <c r="D27" s="5" t="s">
        <v>38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1" t="s">
        <v>39</v>
      </c>
      <c r="B30" s="11"/>
      <c r="C30" s="11"/>
      <c r="D30" s="11"/>
      <c r="E30" s="11"/>
      <c r="F30" s="11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0" t="s">
        <v>30</v>
      </c>
      <c r="B31" s="10" t="s">
        <v>31</v>
      </c>
      <c r="C31" s="10" t="s">
        <v>32</v>
      </c>
      <c r="D31" s="10" t="s">
        <v>12</v>
      </c>
      <c r="E31" s="10" t="s">
        <v>33</v>
      </c>
      <c r="F31" s="10" t="s">
        <v>34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5" t="s">
        <v>21</v>
      </c>
      <c r="B32" s="5" t="s">
        <v>35</v>
      </c>
      <c r="C32" s="5">
        <f>Dashboard!E23</f>
        <v>80</v>
      </c>
      <c r="D32" s="5">
        <v>8.0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5" t="s">
        <v>36</v>
      </c>
      <c r="C33" s="5">
        <f>Dashboard!E23</f>
        <v>80</v>
      </c>
      <c r="D33" s="5">
        <v>8.0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5" t="s">
        <v>37</v>
      </c>
      <c r="C34" s="5">
        <f>Dashboard!E23</f>
        <v>80</v>
      </c>
      <c r="D34" s="5">
        <v>8.0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5" t="s">
        <v>5</v>
      </c>
      <c r="B36" s="5" t="s">
        <v>35</v>
      </c>
      <c r="C36" s="2">
        <f>Dashboard!N5</f>
        <v>45</v>
      </c>
      <c r="D36" s="5" t="s">
        <v>38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5" t="s">
        <v>36</v>
      </c>
      <c r="C37" s="2">
        <f>Dashboard!N5</f>
        <v>45</v>
      </c>
      <c r="D37" s="5" t="s">
        <v>38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5" t="s">
        <v>37</v>
      </c>
      <c r="C38" s="2">
        <f>Dashboard!N5</f>
        <v>45</v>
      </c>
      <c r="D38" s="5" t="s">
        <v>38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5" t="s">
        <v>6</v>
      </c>
      <c r="B40" s="5" t="s">
        <v>35</v>
      </c>
      <c r="C40" s="2">
        <f>Dashboard!O5</f>
        <v>45</v>
      </c>
      <c r="D40" s="5" t="s">
        <v>38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5" t="s">
        <v>36</v>
      </c>
      <c r="C41" s="2">
        <f>Dashboard!O5</f>
        <v>45</v>
      </c>
      <c r="D41" s="5" t="s">
        <v>38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5" t="s">
        <v>37</v>
      </c>
      <c r="C42" s="2">
        <f>Dashboard!O5</f>
        <v>45</v>
      </c>
      <c r="D42" s="5" t="s">
        <v>38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5" t="s">
        <v>40</v>
      </c>
      <c r="B44" s="5" t="s">
        <v>35</v>
      </c>
      <c r="C44" s="2"/>
      <c r="D44" s="5" t="s">
        <v>38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5" t="s">
        <v>36</v>
      </c>
      <c r="C45" s="2"/>
      <c r="D45" s="5" t="s">
        <v>38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5" t="s">
        <v>37</v>
      </c>
      <c r="C46" s="2"/>
      <c r="D46" s="5" t="s">
        <v>38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5" t="s">
        <v>7</v>
      </c>
      <c r="B48" s="5" t="s">
        <v>35</v>
      </c>
      <c r="C48" s="2">
        <f>Dashboard!P5</f>
        <v>45</v>
      </c>
      <c r="D48" s="5" t="s">
        <v>38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5" t="s">
        <v>36</v>
      </c>
      <c r="C49" s="2">
        <f>Dashboard!P5</f>
        <v>45</v>
      </c>
      <c r="D49" s="5" t="s">
        <v>38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5" t="s">
        <v>37</v>
      </c>
      <c r="C50" s="2">
        <f>Dashboard!P5</f>
        <v>45</v>
      </c>
      <c r="D50" s="5" t="s">
        <v>38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5" t="s">
        <v>8</v>
      </c>
      <c r="B52" s="5" t="s">
        <v>35</v>
      </c>
      <c r="C52" s="2">
        <f>Dashboard!Q5</f>
        <v>45</v>
      </c>
      <c r="D52" s="5" t="s">
        <v>38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5" t="s">
        <v>36</v>
      </c>
      <c r="C53" s="2">
        <f>Dashboard!Q5</f>
        <v>45</v>
      </c>
      <c r="D53" s="5" t="s">
        <v>38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5" t="s">
        <v>37</v>
      </c>
      <c r="C54" s="2">
        <f>Dashboard!Q5</f>
        <v>45</v>
      </c>
      <c r="D54" s="5" t="s">
        <v>38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5" t="s">
        <v>9</v>
      </c>
      <c r="B56" s="5" t="s">
        <v>35</v>
      </c>
      <c r="C56" s="2">
        <f>Dashboard!R5</f>
        <v>45</v>
      </c>
      <c r="D56" s="5" t="s">
        <v>38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5" t="s">
        <v>36</v>
      </c>
      <c r="C57" s="2">
        <f>Dashboard!R5</f>
        <v>45</v>
      </c>
      <c r="D57" s="5" t="s">
        <v>38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5" t="s">
        <v>37</v>
      </c>
      <c r="C58" s="2">
        <f>Dashboard!R5</f>
        <v>45</v>
      </c>
      <c r="D58" s="5" t="s">
        <v>38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A1" s="5" t="s">
        <v>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 t="s">
        <v>29</v>
      </c>
      <c r="B3" s="9"/>
      <c r="C3" s="9"/>
      <c r="D3" s="9"/>
      <c r="E3" s="9"/>
      <c r="F3" s="9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" t="s">
        <v>30</v>
      </c>
      <c r="B4" s="10" t="s">
        <v>31</v>
      </c>
      <c r="C4" s="10" t="s">
        <v>32</v>
      </c>
      <c r="D4" s="10" t="s">
        <v>12</v>
      </c>
      <c r="E4" s="10" t="s">
        <v>33</v>
      </c>
      <c r="F4" s="10" t="s">
        <v>34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 t="s">
        <v>16</v>
      </c>
      <c r="B5" s="5" t="s">
        <v>35</v>
      </c>
      <c r="C5" s="5">
        <f>Dashboard!B24</f>
        <v>65</v>
      </c>
      <c r="D5" s="5">
        <v>8.0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5" t="s">
        <v>36</v>
      </c>
      <c r="C6" s="5">
        <f>Dashboard!B24</f>
        <v>65</v>
      </c>
      <c r="D6" s="5">
        <v>8.0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5" t="s">
        <v>37</v>
      </c>
      <c r="C7" s="5">
        <f>Dashboard!B24</f>
        <v>65</v>
      </c>
      <c r="D7" s="5">
        <v>8.0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5" t="s">
        <v>19</v>
      </c>
      <c r="B9" s="5" t="s">
        <v>35</v>
      </c>
      <c r="C9" s="5">
        <f>Dashboard!C24</f>
        <v>30</v>
      </c>
      <c r="D9" s="5">
        <v>8.0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5" t="s">
        <v>36</v>
      </c>
      <c r="C10" s="5">
        <f>Dashboard!C24</f>
        <v>30</v>
      </c>
      <c r="D10" s="5">
        <v>8.0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5" t="s">
        <v>37</v>
      </c>
      <c r="C11" s="5">
        <f>Dashboard!C24</f>
        <v>30</v>
      </c>
      <c r="D11" s="5">
        <v>8.0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5" t="s">
        <v>20</v>
      </c>
      <c r="B13" s="5" t="s">
        <v>35</v>
      </c>
      <c r="C13" s="5">
        <f>Dashboard!D24</f>
        <v>20</v>
      </c>
      <c r="D13" s="5">
        <v>8.0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5" t="s">
        <v>36</v>
      </c>
      <c r="C14" s="5">
        <f>Dashboard!D24</f>
        <v>20</v>
      </c>
      <c r="D14" s="5">
        <v>8.0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5" t="s">
        <v>37</v>
      </c>
      <c r="C15" s="5">
        <f>Dashboard!D24</f>
        <v>20</v>
      </c>
      <c r="D15" s="5">
        <v>8.0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5" t="s">
        <v>2</v>
      </c>
      <c r="B17" s="5" t="s">
        <v>35</v>
      </c>
      <c r="C17" s="2">
        <f>Dashboard!K4</f>
        <v>45</v>
      </c>
      <c r="D17" s="5" t="s">
        <v>38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5" t="s">
        <v>36</v>
      </c>
      <c r="C18" s="2">
        <f>Dashboard!K4</f>
        <v>45</v>
      </c>
      <c r="D18" s="5" t="s">
        <v>38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5" t="s">
        <v>37</v>
      </c>
      <c r="C19" s="2">
        <f>Dashboard!K4</f>
        <v>45</v>
      </c>
      <c r="D19" s="5" t="s">
        <v>38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5" t="s">
        <v>3</v>
      </c>
      <c r="B21" s="5" t="s">
        <v>35</v>
      </c>
      <c r="C21" s="2">
        <f>Dashboard!L4</f>
        <v>45</v>
      </c>
      <c r="D21" s="5" t="s">
        <v>38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5" t="s">
        <v>36</v>
      </c>
      <c r="C22" s="2">
        <f>Dashboard!L4</f>
        <v>45</v>
      </c>
      <c r="D22" s="5" t="s">
        <v>38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5" t="s">
        <v>37</v>
      </c>
      <c r="C23" s="2">
        <f>Dashboard!L4</f>
        <v>45</v>
      </c>
      <c r="D23" s="5" t="s">
        <v>38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5" t="s">
        <v>4</v>
      </c>
      <c r="B25" s="5" t="s">
        <v>35</v>
      </c>
      <c r="C25" s="2">
        <f>Dashboard!M4</f>
        <v>45</v>
      </c>
      <c r="D25" s="5" t="s">
        <v>38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5" t="s">
        <v>36</v>
      </c>
      <c r="C26" s="2">
        <f>Dashboard!M4</f>
        <v>45</v>
      </c>
      <c r="D26" s="5" t="s">
        <v>38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5" t="s">
        <v>37</v>
      </c>
      <c r="C27" s="2">
        <f>Dashboard!M4</f>
        <v>45</v>
      </c>
      <c r="D27" s="5" t="s">
        <v>38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1" t="s">
        <v>39</v>
      </c>
      <c r="B30" s="11"/>
      <c r="C30" s="11"/>
      <c r="D30" s="11"/>
      <c r="E30" s="11"/>
      <c r="F30" s="11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0" t="s">
        <v>30</v>
      </c>
      <c r="B31" s="10" t="s">
        <v>31</v>
      </c>
      <c r="C31" s="10" t="s">
        <v>32</v>
      </c>
      <c r="D31" s="10" t="s">
        <v>12</v>
      </c>
      <c r="E31" s="10" t="s">
        <v>33</v>
      </c>
      <c r="F31" s="10" t="s">
        <v>34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5" t="s">
        <v>21</v>
      </c>
      <c r="B32" s="5" t="s">
        <v>35</v>
      </c>
      <c r="C32" s="5">
        <f>Dashboard!E24</f>
        <v>90</v>
      </c>
      <c r="D32" s="5">
        <v>8.0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5" t="s">
        <v>36</v>
      </c>
      <c r="C33" s="5">
        <f>Dashboard!E24</f>
        <v>90</v>
      </c>
      <c r="D33" s="5">
        <v>8.0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5" t="s">
        <v>37</v>
      </c>
      <c r="C34" s="5">
        <f>Dashboard!E24</f>
        <v>90</v>
      </c>
      <c r="D34" s="5">
        <v>8.0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5" t="s">
        <v>5</v>
      </c>
      <c r="B36" s="5" t="s">
        <v>35</v>
      </c>
      <c r="C36" s="2">
        <f>Dashboard!N4</f>
        <v>45</v>
      </c>
      <c r="D36" s="5" t="s">
        <v>38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5" t="s">
        <v>36</v>
      </c>
      <c r="C37" s="2">
        <f>Dashboard!N4</f>
        <v>45</v>
      </c>
      <c r="D37" s="5" t="s">
        <v>38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5" t="s">
        <v>37</v>
      </c>
      <c r="C38" s="2">
        <f>Dashboard!N4</f>
        <v>45</v>
      </c>
      <c r="D38" s="5" t="s">
        <v>38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5" t="s">
        <v>6</v>
      </c>
      <c r="B40" s="5" t="s">
        <v>35</v>
      </c>
      <c r="C40" s="2">
        <f>Dashboard!O4</f>
        <v>45</v>
      </c>
      <c r="D40" s="5" t="s">
        <v>38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5" t="s">
        <v>36</v>
      </c>
      <c r="C41" s="2">
        <f>Dashboard!O4</f>
        <v>45</v>
      </c>
      <c r="D41" s="5" t="s">
        <v>38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5" t="s">
        <v>37</v>
      </c>
      <c r="C42" s="2">
        <f>Dashboard!O4</f>
        <v>45</v>
      </c>
      <c r="D42" s="5" t="s">
        <v>38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5" t="s">
        <v>40</v>
      </c>
      <c r="B44" s="5" t="s">
        <v>35</v>
      </c>
      <c r="C44" s="2"/>
      <c r="D44" s="5" t="s">
        <v>38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5" t="s">
        <v>36</v>
      </c>
      <c r="C45" s="2"/>
      <c r="D45" s="5" t="s">
        <v>38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5" t="s">
        <v>37</v>
      </c>
      <c r="C46" s="2"/>
      <c r="D46" s="5" t="s">
        <v>38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5" t="s">
        <v>7</v>
      </c>
      <c r="B48" s="5" t="s">
        <v>35</v>
      </c>
      <c r="C48" s="2">
        <f>Dashboard!P4</f>
        <v>45</v>
      </c>
      <c r="D48" s="5" t="s">
        <v>38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5" t="s">
        <v>36</v>
      </c>
      <c r="C49" s="2">
        <f>Dashboard!P4</f>
        <v>45</v>
      </c>
      <c r="D49" s="5" t="s">
        <v>38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5" t="s">
        <v>37</v>
      </c>
      <c r="C50" s="2">
        <f>Dashboard!P4</f>
        <v>45</v>
      </c>
      <c r="D50" s="5" t="s">
        <v>38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5" t="s">
        <v>8</v>
      </c>
      <c r="B52" s="5" t="s">
        <v>35</v>
      </c>
      <c r="C52" s="2">
        <f>Dashboard!Q4</f>
        <v>45</v>
      </c>
      <c r="D52" s="5" t="s">
        <v>38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5" t="s">
        <v>36</v>
      </c>
      <c r="C53" s="2">
        <f>Dashboard!Q4</f>
        <v>45</v>
      </c>
      <c r="D53" s="5" t="s">
        <v>38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5" t="s">
        <v>37</v>
      </c>
      <c r="C54" s="2">
        <f>Dashboard!Q4</f>
        <v>45</v>
      </c>
      <c r="D54" s="5" t="s">
        <v>38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5" t="s">
        <v>9</v>
      </c>
      <c r="B56" s="5" t="s">
        <v>35</v>
      </c>
      <c r="C56" s="2">
        <f>Dashboard!R4</f>
        <v>45</v>
      </c>
      <c r="D56" s="5" t="s">
        <v>38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5" t="s">
        <v>36</v>
      </c>
      <c r="C57" s="2">
        <f>Dashboard!R4</f>
        <v>45</v>
      </c>
      <c r="D57" s="5" t="s">
        <v>38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5" t="s">
        <v>37</v>
      </c>
      <c r="C58" s="2">
        <f>Dashboard!R4</f>
        <v>45</v>
      </c>
      <c r="D58" s="5" t="s">
        <v>38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A1" s="5" t="s">
        <v>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 t="s">
        <v>29</v>
      </c>
      <c r="B3" s="9"/>
      <c r="C3" s="9"/>
      <c r="D3" s="9"/>
      <c r="E3" s="9"/>
      <c r="F3" s="9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" t="s">
        <v>30</v>
      </c>
      <c r="B4" s="10" t="s">
        <v>31</v>
      </c>
      <c r="C4" s="10" t="s">
        <v>32</v>
      </c>
      <c r="D4" s="10" t="s">
        <v>12</v>
      </c>
      <c r="E4" s="10" t="s">
        <v>33</v>
      </c>
      <c r="F4" s="10" t="s">
        <v>34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 t="s">
        <v>16</v>
      </c>
      <c r="B5" s="5" t="s">
        <v>35</v>
      </c>
      <c r="C5" s="5">
        <f>Dashboard!B24</f>
        <v>65</v>
      </c>
      <c r="D5" s="5">
        <v>6.0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5" t="s">
        <v>36</v>
      </c>
      <c r="C6" s="5">
        <f>Dashboard!B24</f>
        <v>65</v>
      </c>
      <c r="D6" s="5">
        <v>6.0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5" t="s">
        <v>37</v>
      </c>
      <c r="C7" s="5">
        <f>Dashboard!B24</f>
        <v>65</v>
      </c>
      <c r="D7" s="5">
        <v>6.0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5" t="s">
        <v>19</v>
      </c>
      <c r="B9" s="5" t="s">
        <v>35</v>
      </c>
      <c r="C9" s="5">
        <f>Dashboard!C24</f>
        <v>30</v>
      </c>
      <c r="D9" s="5">
        <v>6.0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5" t="s">
        <v>36</v>
      </c>
      <c r="C10" s="5">
        <f>Dashboard!C24</f>
        <v>30</v>
      </c>
      <c r="D10" s="5">
        <v>6.0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5" t="s">
        <v>37</v>
      </c>
      <c r="C11" s="5">
        <f>Dashboard!C24</f>
        <v>30</v>
      </c>
      <c r="D11" s="5">
        <v>6.0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5" t="s">
        <v>20</v>
      </c>
      <c r="B13" s="5" t="s">
        <v>35</v>
      </c>
      <c r="C13" s="5">
        <f>Dashboard!D24</f>
        <v>20</v>
      </c>
      <c r="D13" s="5">
        <v>6.0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5" t="s">
        <v>36</v>
      </c>
      <c r="C14" s="5">
        <f>Dashboard!D24</f>
        <v>20</v>
      </c>
      <c r="D14" s="5">
        <v>6.0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5" t="s">
        <v>37</v>
      </c>
      <c r="C15" s="5">
        <f>Dashboard!D24</f>
        <v>20</v>
      </c>
      <c r="D15" s="5">
        <v>6.0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5" t="s">
        <v>2</v>
      </c>
      <c r="B17" s="5" t="s">
        <v>35</v>
      </c>
      <c r="C17" s="2">
        <f>Dashboard!K5</f>
        <v>45</v>
      </c>
      <c r="D17" s="5" t="s">
        <v>38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5" t="s">
        <v>36</v>
      </c>
      <c r="C18" s="2">
        <f>Dashboard!K5</f>
        <v>45</v>
      </c>
      <c r="D18" s="5" t="s">
        <v>38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5" t="s">
        <v>37</v>
      </c>
      <c r="C19" s="2">
        <f>Dashboard!K5</f>
        <v>45</v>
      </c>
      <c r="D19" s="5" t="s">
        <v>38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5" t="s">
        <v>3</v>
      </c>
      <c r="B21" s="5" t="s">
        <v>35</v>
      </c>
      <c r="C21" s="2">
        <f>Dashboard!L5</f>
        <v>45</v>
      </c>
      <c r="D21" s="5" t="s">
        <v>38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5" t="s">
        <v>36</v>
      </c>
      <c r="C22" s="2">
        <f>Dashboard!L5</f>
        <v>45</v>
      </c>
      <c r="D22" s="5" t="s">
        <v>38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5" t="s">
        <v>37</v>
      </c>
      <c r="C23" s="2">
        <f>Dashboard!L5</f>
        <v>45</v>
      </c>
      <c r="D23" s="5" t="s">
        <v>38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5" t="s">
        <v>4</v>
      </c>
      <c r="B25" s="5" t="s">
        <v>35</v>
      </c>
      <c r="C25" s="2">
        <f>Dashboard!M5</f>
        <v>45</v>
      </c>
      <c r="D25" s="5" t="s">
        <v>38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5" t="s">
        <v>36</v>
      </c>
      <c r="C26" s="2">
        <f>Dashboard!M5</f>
        <v>45</v>
      </c>
      <c r="D26" s="5" t="s">
        <v>38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5" t="s">
        <v>37</v>
      </c>
      <c r="C27" s="2">
        <f>Dashboard!M5</f>
        <v>45</v>
      </c>
      <c r="D27" s="5" t="s">
        <v>38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1" t="s">
        <v>39</v>
      </c>
      <c r="B30" s="11"/>
      <c r="C30" s="11"/>
      <c r="D30" s="11"/>
      <c r="E30" s="11"/>
      <c r="F30" s="11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0" t="s">
        <v>30</v>
      </c>
      <c r="B31" s="10" t="s">
        <v>31</v>
      </c>
      <c r="C31" s="10" t="s">
        <v>32</v>
      </c>
      <c r="D31" s="10" t="s">
        <v>12</v>
      </c>
      <c r="E31" s="10" t="s">
        <v>33</v>
      </c>
      <c r="F31" s="10" t="s">
        <v>34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5" t="s">
        <v>21</v>
      </c>
      <c r="B32" s="5" t="s">
        <v>35</v>
      </c>
      <c r="C32" s="5">
        <f>Dashboard!E24</f>
        <v>90</v>
      </c>
      <c r="D32" s="5">
        <v>6.0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5" t="s">
        <v>36</v>
      </c>
      <c r="C33" s="5">
        <f>Dashboard!E24</f>
        <v>90</v>
      </c>
      <c r="D33" s="5">
        <v>6.0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5" t="s">
        <v>37</v>
      </c>
      <c r="C34" s="5">
        <f>Dashboard!E24</f>
        <v>90</v>
      </c>
      <c r="D34" s="5">
        <v>6.0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5" t="s">
        <v>5</v>
      </c>
      <c r="B36" s="5" t="s">
        <v>35</v>
      </c>
      <c r="C36" s="2">
        <f>Dashboard!N5</f>
        <v>45</v>
      </c>
      <c r="D36" s="5" t="s">
        <v>38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5" t="s">
        <v>36</v>
      </c>
      <c r="C37" s="2">
        <f>Dashboard!N5</f>
        <v>45</v>
      </c>
      <c r="D37" s="5" t="s">
        <v>38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5" t="s">
        <v>37</v>
      </c>
      <c r="C38" s="2">
        <f>Dashboard!N5</f>
        <v>45</v>
      </c>
      <c r="D38" s="5" t="s">
        <v>38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5" t="s">
        <v>6</v>
      </c>
      <c r="B40" s="5" t="s">
        <v>35</v>
      </c>
      <c r="C40" s="2">
        <f>Dashboard!O5</f>
        <v>45</v>
      </c>
      <c r="D40" s="5" t="s">
        <v>38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5" t="s">
        <v>36</v>
      </c>
      <c r="C41" s="2">
        <f>Dashboard!O5</f>
        <v>45</v>
      </c>
      <c r="D41" s="5" t="s">
        <v>38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5" t="s">
        <v>37</v>
      </c>
      <c r="C42" s="2">
        <f>Dashboard!O5</f>
        <v>45</v>
      </c>
      <c r="D42" s="5" t="s">
        <v>38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5" t="s">
        <v>40</v>
      </c>
      <c r="B44" s="5" t="s">
        <v>35</v>
      </c>
      <c r="C44" s="2"/>
      <c r="D44" s="5" t="s">
        <v>38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5" t="s">
        <v>36</v>
      </c>
      <c r="C45" s="2"/>
      <c r="D45" s="5" t="s">
        <v>38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5" t="s">
        <v>37</v>
      </c>
      <c r="C46" s="2"/>
      <c r="D46" s="5" t="s">
        <v>38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5" t="s">
        <v>7</v>
      </c>
      <c r="B48" s="5" t="s">
        <v>35</v>
      </c>
      <c r="C48" s="2">
        <f>Dashboard!P5</f>
        <v>45</v>
      </c>
      <c r="D48" s="5" t="s">
        <v>38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5" t="s">
        <v>36</v>
      </c>
      <c r="C49" s="2">
        <f>Dashboard!P5</f>
        <v>45</v>
      </c>
      <c r="D49" s="5" t="s">
        <v>38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5" t="s">
        <v>37</v>
      </c>
      <c r="C50" s="2">
        <f>Dashboard!P5</f>
        <v>45</v>
      </c>
      <c r="D50" s="5" t="s">
        <v>38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5" t="s">
        <v>8</v>
      </c>
      <c r="B52" s="5" t="s">
        <v>35</v>
      </c>
      <c r="C52" s="2">
        <f>Dashboard!Q5</f>
        <v>45</v>
      </c>
      <c r="D52" s="5" t="s">
        <v>38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5" t="s">
        <v>36</v>
      </c>
      <c r="C53" s="2">
        <f>Dashboard!Q5</f>
        <v>45</v>
      </c>
      <c r="D53" s="5" t="s">
        <v>38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5" t="s">
        <v>37</v>
      </c>
      <c r="C54" s="2">
        <f>Dashboard!Q5</f>
        <v>45</v>
      </c>
      <c r="D54" s="5" t="s">
        <v>38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5" t="s">
        <v>9</v>
      </c>
      <c r="B56" s="5" t="s">
        <v>35</v>
      </c>
      <c r="C56" s="2">
        <f>Dashboard!R5</f>
        <v>45</v>
      </c>
      <c r="D56" s="5" t="s">
        <v>38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5" t="s">
        <v>36</v>
      </c>
      <c r="C57" s="2">
        <f>Dashboard!R5</f>
        <v>45</v>
      </c>
      <c r="D57" s="5" t="s">
        <v>38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5" t="s">
        <v>37</v>
      </c>
      <c r="C58" s="2">
        <f>Dashboard!R5</f>
        <v>45</v>
      </c>
      <c r="D58" s="5" t="s">
        <v>38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A1" s="5" t="s">
        <v>49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 t="s">
        <v>29</v>
      </c>
      <c r="B3" s="9"/>
      <c r="C3" s="9"/>
      <c r="D3" s="9"/>
      <c r="E3" s="9"/>
      <c r="F3" s="9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" t="s">
        <v>30</v>
      </c>
      <c r="B4" s="10" t="s">
        <v>31</v>
      </c>
      <c r="C4" s="10" t="s">
        <v>32</v>
      </c>
      <c r="D4" s="10" t="s">
        <v>12</v>
      </c>
      <c r="E4" s="10" t="s">
        <v>33</v>
      </c>
      <c r="F4" s="10" t="s">
        <v>34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 t="s">
        <v>16</v>
      </c>
      <c r="B5" s="5" t="s">
        <v>35</v>
      </c>
      <c r="C5" s="5">
        <f>Dashboard!B33</f>
        <v>85</v>
      </c>
      <c r="D5" s="5">
        <v>5.0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5" t="s">
        <v>36</v>
      </c>
      <c r="C6" s="5">
        <f>Dashboard!B33</f>
        <v>85</v>
      </c>
      <c r="D6" s="5">
        <v>5.0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5" t="s">
        <v>37</v>
      </c>
      <c r="C7" s="5">
        <f>Dashboard!B33</f>
        <v>85</v>
      </c>
      <c r="D7" s="5">
        <v>5.0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5" t="s">
        <v>19</v>
      </c>
      <c r="B9" s="5" t="s">
        <v>35</v>
      </c>
      <c r="C9" s="5">
        <f>Dashboard!C33</f>
        <v>35</v>
      </c>
      <c r="D9" s="5">
        <v>5.0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5" t="s">
        <v>36</v>
      </c>
      <c r="C10" s="5">
        <f>Dashboard!C33</f>
        <v>35</v>
      </c>
      <c r="D10" s="5">
        <v>5.0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5" t="s">
        <v>37</v>
      </c>
      <c r="C11" s="5">
        <f>Dashboard!C33</f>
        <v>35</v>
      </c>
      <c r="D11" s="5">
        <v>5.0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5" t="s">
        <v>20</v>
      </c>
      <c r="B13" s="5" t="s">
        <v>35</v>
      </c>
      <c r="C13" s="5">
        <f>Dashboard!D33</f>
        <v>25</v>
      </c>
      <c r="D13" s="5">
        <v>5.0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5" t="s">
        <v>36</v>
      </c>
      <c r="C14" s="5">
        <f>Dashboard!D33</f>
        <v>25</v>
      </c>
      <c r="D14" s="5">
        <v>5.0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5" t="s">
        <v>37</v>
      </c>
      <c r="C15" s="5">
        <f>Dashboard!D33</f>
        <v>25</v>
      </c>
      <c r="D15" s="5">
        <v>5.0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5" t="s">
        <v>2</v>
      </c>
      <c r="B17" s="5" t="s">
        <v>35</v>
      </c>
      <c r="C17" s="2">
        <f>Dashboard!K6</f>
        <v>47.5</v>
      </c>
      <c r="D17" s="5" t="s">
        <v>38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5" t="s">
        <v>36</v>
      </c>
      <c r="C18" s="2">
        <f>Dashboard!K6</f>
        <v>47.5</v>
      </c>
      <c r="D18" s="5" t="s">
        <v>38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5" t="s">
        <v>37</v>
      </c>
      <c r="C19" s="2">
        <f>Dashboard!K6</f>
        <v>47.5</v>
      </c>
      <c r="D19" s="5" t="s">
        <v>38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5" t="s">
        <v>3</v>
      </c>
      <c r="B21" s="5" t="s">
        <v>35</v>
      </c>
      <c r="C21" s="2">
        <f>Dashboard!L6</f>
        <v>47.5</v>
      </c>
      <c r="D21" s="5" t="s">
        <v>38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5" t="s">
        <v>36</v>
      </c>
      <c r="C22" s="2">
        <f>Dashboard!L6</f>
        <v>47.5</v>
      </c>
      <c r="D22" s="5" t="s">
        <v>38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5" t="s">
        <v>37</v>
      </c>
      <c r="C23" s="2">
        <f>Dashboard!L6</f>
        <v>47.5</v>
      </c>
      <c r="D23" s="5" t="s">
        <v>38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5" t="s">
        <v>4</v>
      </c>
      <c r="B25" s="5" t="s">
        <v>35</v>
      </c>
      <c r="C25" s="2">
        <f>Dashboard!M6</f>
        <v>47.5</v>
      </c>
      <c r="D25" s="5" t="s">
        <v>38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5" t="s">
        <v>36</v>
      </c>
      <c r="C26" s="2">
        <f>Dashboard!M6</f>
        <v>47.5</v>
      </c>
      <c r="D26" s="5" t="s">
        <v>38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5" t="s">
        <v>37</v>
      </c>
      <c r="C27" s="2">
        <f>Dashboard!M6</f>
        <v>47.5</v>
      </c>
      <c r="D27" s="5" t="s">
        <v>38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1" t="s">
        <v>39</v>
      </c>
      <c r="B30" s="11"/>
      <c r="C30" s="11"/>
      <c r="D30" s="11"/>
      <c r="E30" s="11"/>
      <c r="F30" s="11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0" t="s">
        <v>30</v>
      </c>
      <c r="B31" s="10" t="s">
        <v>31</v>
      </c>
      <c r="C31" s="10" t="s">
        <v>32</v>
      </c>
      <c r="D31" s="10" t="s">
        <v>12</v>
      </c>
      <c r="E31" s="10" t="s">
        <v>33</v>
      </c>
      <c r="F31" s="10" t="s">
        <v>34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5" t="s">
        <v>21</v>
      </c>
      <c r="B32" s="5" t="s">
        <v>35</v>
      </c>
      <c r="C32" s="5">
        <f>Dashboard!E33</f>
        <v>115</v>
      </c>
      <c r="D32" s="5">
        <v>5.0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5" t="s">
        <v>36</v>
      </c>
      <c r="C33" s="5">
        <f>Dashboard!E33</f>
        <v>115</v>
      </c>
      <c r="D33" s="5">
        <v>5.0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5" t="s">
        <v>37</v>
      </c>
      <c r="C34" s="5">
        <f>Dashboard!E33</f>
        <v>115</v>
      </c>
      <c r="D34" s="5">
        <v>5.0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5" t="s">
        <v>5</v>
      </c>
      <c r="B36" s="5" t="s">
        <v>35</v>
      </c>
      <c r="C36" s="2">
        <f>Dashboard!N6</f>
        <v>47.5</v>
      </c>
      <c r="D36" s="5" t="s">
        <v>38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5" t="s">
        <v>36</v>
      </c>
      <c r="C37" s="2">
        <f>Dashboard!N6</f>
        <v>47.5</v>
      </c>
      <c r="D37" s="5" t="s">
        <v>38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5" t="s">
        <v>37</v>
      </c>
      <c r="C38" s="2">
        <f>Dashboard!N6</f>
        <v>47.5</v>
      </c>
      <c r="D38" s="5" t="s">
        <v>38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5" t="s">
        <v>6</v>
      </c>
      <c r="B40" s="5" t="s">
        <v>35</v>
      </c>
      <c r="C40" s="2">
        <f>Dashboard!O6</f>
        <v>47.5</v>
      </c>
      <c r="D40" s="5" t="s">
        <v>38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5" t="s">
        <v>36</v>
      </c>
      <c r="C41" s="2">
        <f>Dashboard!O6</f>
        <v>47.5</v>
      </c>
      <c r="D41" s="5" t="s">
        <v>38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5" t="s">
        <v>37</v>
      </c>
      <c r="C42" s="2">
        <f>Dashboard!O6</f>
        <v>47.5</v>
      </c>
      <c r="D42" s="5" t="s">
        <v>38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5" t="s">
        <v>40</v>
      </c>
      <c r="B44" s="5" t="s">
        <v>35</v>
      </c>
      <c r="C44" s="2"/>
      <c r="D44" s="5" t="s">
        <v>38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5" t="s">
        <v>36</v>
      </c>
      <c r="C45" s="2"/>
      <c r="D45" s="5" t="s">
        <v>38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5" t="s">
        <v>37</v>
      </c>
      <c r="C46" s="2"/>
      <c r="D46" s="5" t="s">
        <v>38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5" t="s">
        <v>7</v>
      </c>
      <c r="B48" s="5" t="s">
        <v>35</v>
      </c>
      <c r="C48" s="2">
        <f>Dashboard!P6</f>
        <v>47.5</v>
      </c>
      <c r="D48" s="5" t="s">
        <v>38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5" t="s">
        <v>36</v>
      </c>
      <c r="C49" s="2">
        <f>Dashboard!P6</f>
        <v>47.5</v>
      </c>
      <c r="D49" s="5" t="s">
        <v>38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5" t="s">
        <v>37</v>
      </c>
      <c r="C50" s="2">
        <f>Dashboard!P6</f>
        <v>47.5</v>
      </c>
      <c r="D50" s="5" t="s">
        <v>38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5" t="s">
        <v>8</v>
      </c>
      <c r="B52" s="5" t="s">
        <v>35</v>
      </c>
      <c r="C52" s="2">
        <f>Dashboard!Q6</f>
        <v>47.5</v>
      </c>
      <c r="D52" s="5" t="s">
        <v>38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5" t="s">
        <v>36</v>
      </c>
      <c r="C53" s="2">
        <f>Dashboard!Q6</f>
        <v>47.5</v>
      </c>
      <c r="D53" s="5" t="s">
        <v>38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5" t="s">
        <v>37</v>
      </c>
      <c r="C54" s="2">
        <f>Dashboard!Q6</f>
        <v>47.5</v>
      </c>
      <c r="D54" s="5" t="s">
        <v>38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5" t="s">
        <v>9</v>
      </c>
      <c r="B56" s="5" t="s">
        <v>35</v>
      </c>
      <c r="C56" s="2">
        <f>Dashboard!R6</f>
        <v>47.5</v>
      </c>
      <c r="D56" s="5" t="s">
        <v>38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5" t="s">
        <v>36</v>
      </c>
      <c r="C57" s="2">
        <f>Dashboard!R6</f>
        <v>47.5</v>
      </c>
      <c r="D57" s="5" t="s">
        <v>38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5" t="s">
        <v>37</v>
      </c>
      <c r="C58" s="2">
        <f>Dashboard!R6</f>
        <v>47.5</v>
      </c>
      <c r="D58" s="5" t="s">
        <v>38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A1" s="5" t="s">
        <v>50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 t="s">
        <v>29</v>
      </c>
      <c r="B3" s="9"/>
      <c r="C3" s="9"/>
      <c r="D3" s="9"/>
      <c r="E3" s="9"/>
      <c r="F3" s="9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" t="s">
        <v>30</v>
      </c>
      <c r="B4" s="10" t="s">
        <v>31</v>
      </c>
      <c r="C4" s="10" t="s">
        <v>32</v>
      </c>
      <c r="D4" s="10" t="s">
        <v>12</v>
      </c>
      <c r="E4" s="10" t="s">
        <v>33</v>
      </c>
      <c r="F4" s="10" t="s">
        <v>34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 t="s">
        <v>16</v>
      </c>
      <c r="B5" s="5" t="s">
        <v>35</v>
      </c>
      <c r="C5" s="5">
        <f>Dashboard!B36</f>
        <v>90</v>
      </c>
      <c r="D5" s="5">
        <v>3.0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5" t="s">
        <v>36</v>
      </c>
      <c r="C6" s="5">
        <f>Dashboard!B36</f>
        <v>90</v>
      </c>
      <c r="D6" s="5">
        <v>3.0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5" t="s">
        <v>37</v>
      </c>
      <c r="C7" s="5">
        <f>Dashboard!B36</f>
        <v>90</v>
      </c>
      <c r="D7" s="5">
        <v>3.0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5" t="s">
        <v>44</v>
      </c>
      <c r="C8" s="5">
        <f>Dashboard!B36</f>
        <v>90</v>
      </c>
      <c r="D8" s="5">
        <v>3.0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5" t="s">
        <v>19</v>
      </c>
      <c r="B10" s="5" t="s">
        <v>35</v>
      </c>
      <c r="C10" s="5">
        <f>Dashboard!C36</f>
        <v>40</v>
      </c>
      <c r="D10" s="5">
        <v>3.0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5" t="s">
        <v>36</v>
      </c>
      <c r="C11" s="5">
        <f>Dashboard!C36</f>
        <v>40</v>
      </c>
      <c r="D11" s="5">
        <v>3.0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5" t="s">
        <v>37</v>
      </c>
      <c r="C12" s="5">
        <f>Dashboard!C36</f>
        <v>40</v>
      </c>
      <c r="D12" s="5">
        <v>3.0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5" t="s">
        <v>44</v>
      </c>
      <c r="C13" s="5">
        <f>Dashboard!C36</f>
        <v>40</v>
      </c>
      <c r="D13" s="5">
        <v>3.0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5" t="s">
        <v>20</v>
      </c>
      <c r="B15" s="5" t="s">
        <v>35</v>
      </c>
      <c r="C15" s="5">
        <f>Dashboard!D36</f>
        <v>30</v>
      </c>
      <c r="D15" s="5">
        <v>3.0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5" t="s">
        <v>36</v>
      </c>
      <c r="C16" s="5">
        <f>Dashboard!D36</f>
        <v>30</v>
      </c>
      <c r="D16" s="5">
        <v>3.0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5" t="s">
        <v>37</v>
      </c>
      <c r="C17" s="5">
        <f>Dashboard!D36</f>
        <v>30</v>
      </c>
      <c r="D17" s="5">
        <v>3.0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5" t="s">
        <v>44</v>
      </c>
      <c r="C18" s="5">
        <f>Dashboard!D36</f>
        <v>30</v>
      </c>
      <c r="D18" s="5">
        <v>3.0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5" t="s">
        <v>2</v>
      </c>
      <c r="B20" s="5" t="s">
        <v>35</v>
      </c>
      <c r="C20" s="2">
        <f>Dashboard!K7</f>
        <v>47.5</v>
      </c>
      <c r="D20" s="5" t="s">
        <v>38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5" t="s">
        <v>36</v>
      </c>
      <c r="C21" s="2">
        <f>Dashboard!K7</f>
        <v>47.5</v>
      </c>
      <c r="D21" s="5" t="s">
        <v>38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5" t="s">
        <v>37</v>
      </c>
      <c r="C22" s="2">
        <f>Dashboard!K7</f>
        <v>47.5</v>
      </c>
      <c r="D22" s="5" t="s">
        <v>38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5" t="s">
        <v>3</v>
      </c>
      <c r="B24" s="5" t="s">
        <v>35</v>
      </c>
      <c r="C24" s="2">
        <f>Dashboard!L7</f>
        <v>47.5</v>
      </c>
      <c r="D24" s="5" t="s">
        <v>38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5" t="s">
        <v>36</v>
      </c>
      <c r="C25" s="2">
        <f>Dashboard!L7</f>
        <v>47.5</v>
      </c>
      <c r="D25" s="5" t="s">
        <v>38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5" t="s">
        <v>37</v>
      </c>
      <c r="C26" s="2">
        <f>Dashboard!L7</f>
        <v>47.5</v>
      </c>
      <c r="D26" s="5" t="s">
        <v>38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5" t="s">
        <v>4</v>
      </c>
      <c r="B28" s="5" t="s">
        <v>35</v>
      </c>
      <c r="C28" s="2">
        <f>Dashboard!M7</f>
        <v>47.5</v>
      </c>
      <c r="D28" s="5" t="s">
        <v>38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5" t="s">
        <v>36</v>
      </c>
      <c r="C29" s="2">
        <f>Dashboard!M7</f>
        <v>47.5</v>
      </c>
      <c r="D29" s="5" t="s">
        <v>38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5" t="s">
        <v>37</v>
      </c>
      <c r="C30" s="2">
        <f>Dashboard!M7</f>
        <v>47.5</v>
      </c>
      <c r="D30" s="5" t="s">
        <v>38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11" t="s">
        <v>39</v>
      </c>
      <c r="B33" s="11"/>
      <c r="C33" s="11"/>
      <c r="D33" s="11"/>
      <c r="E33" s="11"/>
      <c r="F33" s="11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10" t="s">
        <v>30</v>
      </c>
      <c r="B34" s="10" t="s">
        <v>31</v>
      </c>
      <c r="C34" s="10" t="s">
        <v>32</v>
      </c>
      <c r="D34" s="10" t="s">
        <v>12</v>
      </c>
      <c r="E34" s="10" t="s">
        <v>33</v>
      </c>
      <c r="F34" s="10" t="s">
        <v>34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5" t="s">
        <v>21</v>
      </c>
      <c r="B35" s="5" t="s">
        <v>35</v>
      </c>
      <c r="C35" s="5">
        <f>Dashboard!E36</f>
        <v>120</v>
      </c>
      <c r="D35" s="5">
        <v>3.0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5" t="s">
        <v>36</v>
      </c>
      <c r="C36" s="5">
        <f>Dashboard!E36</f>
        <v>120</v>
      </c>
      <c r="D36" s="5">
        <v>3.0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5" t="s">
        <v>37</v>
      </c>
      <c r="C37" s="5">
        <f>Dashboard!E36</f>
        <v>120</v>
      </c>
      <c r="D37" s="5">
        <v>3.0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5" t="s">
        <v>44</v>
      </c>
      <c r="C38" s="5">
        <f>Dashboard!E36</f>
        <v>120</v>
      </c>
      <c r="D38" s="5">
        <v>3.0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5" t="s">
        <v>5</v>
      </c>
      <c r="B40" s="5" t="s">
        <v>35</v>
      </c>
      <c r="C40" s="2">
        <f>Dashboard!N7</f>
        <v>47.5</v>
      </c>
      <c r="D40" s="5" t="s">
        <v>38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5" t="s">
        <v>36</v>
      </c>
      <c r="C41" s="2">
        <f>Dashboard!N7</f>
        <v>47.5</v>
      </c>
      <c r="D41" s="5" t="s">
        <v>38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5" t="s">
        <v>37</v>
      </c>
      <c r="C42" s="2">
        <f>Dashboard!N7</f>
        <v>47.5</v>
      </c>
      <c r="D42" s="5" t="s">
        <v>38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5" t="s">
        <v>6</v>
      </c>
      <c r="B44" s="5" t="s">
        <v>35</v>
      </c>
      <c r="C44" s="2">
        <f>Dashboard!O7</f>
        <v>47.5</v>
      </c>
      <c r="D44" s="5" t="s">
        <v>38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5" t="s">
        <v>36</v>
      </c>
      <c r="C45" s="2">
        <f>Dashboard!O7</f>
        <v>47.5</v>
      </c>
      <c r="D45" s="5" t="s">
        <v>38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5" t="s">
        <v>37</v>
      </c>
      <c r="C46" s="2">
        <f>Dashboard!O7</f>
        <v>47.5</v>
      </c>
      <c r="D46" s="5" t="s">
        <v>38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5" t="s">
        <v>40</v>
      </c>
      <c r="B48" s="5" t="s">
        <v>35</v>
      </c>
      <c r="C48" s="2"/>
      <c r="D48" s="5" t="s">
        <v>38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5" t="s">
        <v>36</v>
      </c>
      <c r="C49" s="2"/>
      <c r="D49" s="5" t="s">
        <v>38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5" t="s">
        <v>37</v>
      </c>
      <c r="C50" s="2"/>
      <c r="D50" s="5" t="s">
        <v>38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5" t="s">
        <v>7</v>
      </c>
      <c r="B52" s="5" t="s">
        <v>35</v>
      </c>
      <c r="C52" s="2">
        <f>Dashboard!P7</f>
        <v>47.5</v>
      </c>
      <c r="D52" s="5" t="s">
        <v>38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5" t="s">
        <v>36</v>
      </c>
      <c r="C53" s="2">
        <f>Dashboard!P7</f>
        <v>47.5</v>
      </c>
      <c r="D53" s="5" t="s">
        <v>38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5" t="s">
        <v>37</v>
      </c>
      <c r="C54" s="2">
        <f>Dashboard!P7</f>
        <v>47.5</v>
      </c>
      <c r="D54" s="5" t="s">
        <v>38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5" t="s">
        <v>8</v>
      </c>
      <c r="B56" s="5" t="s">
        <v>35</v>
      </c>
      <c r="C56" s="2">
        <f>Dashboard!Q7</f>
        <v>47.5</v>
      </c>
      <c r="D56" s="5" t="s">
        <v>38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5" t="s">
        <v>36</v>
      </c>
      <c r="C57" s="2">
        <f>Dashboard!Q7</f>
        <v>47.5</v>
      </c>
      <c r="D57" s="5" t="s">
        <v>38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5" t="s">
        <v>37</v>
      </c>
      <c r="C58" s="2">
        <f>Dashboard!Q7</f>
        <v>47.5</v>
      </c>
      <c r="D58" s="5" t="s">
        <v>38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5" t="s">
        <v>9</v>
      </c>
      <c r="B60" s="5" t="s">
        <v>35</v>
      </c>
      <c r="C60" s="2">
        <f>Dashboard!R7</f>
        <v>47.5</v>
      </c>
      <c r="D60" s="5" t="s">
        <v>38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5" t="s">
        <v>36</v>
      </c>
      <c r="C61" s="2">
        <f>Dashboard!R7</f>
        <v>47.5</v>
      </c>
      <c r="D61" s="5" t="s">
        <v>38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5" t="s">
        <v>37</v>
      </c>
      <c r="C62" s="2">
        <f>Dashboard!R7</f>
        <v>47.5</v>
      </c>
      <c r="D62" s="5" t="s">
        <v>38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A1" s="5" t="s">
        <v>51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 t="s">
        <v>29</v>
      </c>
      <c r="B3" s="9"/>
      <c r="C3" s="9"/>
      <c r="D3" s="9"/>
      <c r="E3" s="9"/>
      <c r="F3" s="9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" t="s">
        <v>30</v>
      </c>
      <c r="B4" s="10" t="s">
        <v>31</v>
      </c>
      <c r="C4" s="10" t="s">
        <v>32</v>
      </c>
      <c r="D4" s="10" t="s">
        <v>12</v>
      </c>
      <c r="E4" s="10" t="s">
        <v>33</v>
      </c>
      <c r="F4" s="10" t="s">
        <v>34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 t="s">
        <v>16</v>
      </c>
      <c r="B5" s="5" t="s">
        <v>35</v>
      </c>
      <c r="C5" s="5">
        <f>Dashboard!B37</f>
        <v>90</v>
      </c>
      <c r="D5" s="5">
        <v>12.0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5" t="s">
        <v>36</v>
      </c>
      <c r="C6" s="5">
        <f>Dashboard!B37</f>
        <v>90</v>
      </c>
      <c r="D6" s="5">
        <v>12.0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5" t="s">
        <v>37</v>
      </c>
      <c r="C7" s="5">
        <f>Dashboard!B37</f>
        <v>90</v>
      </c>
      <c r="D7" s="5">
        <v>12.0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5" t="s">
        <v>19</v>
      </c>
      <c r="B9" s="5" t="s">
        <v>35</v>
      </c>
      <c r="C9" s="5">
        <f>Dashboard!C37</f>
        <v>40</v>
      </c>
      <c r="D9" s="5">
        <v>12.0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5" t="s">
        <v>36</v>
      </c>
      <c r="C10" s="5">
        <f>Dashboard!C37</f>
        <v>40</v>
      </c>
      <c r="D10" s="5">
        <v>12.0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5" t="s">
        <v>37</v>
      </c>
      <c r="C11" s="5">
        <f>Dashboard!C37</f>
        <v>40</v>
      </c>
      <c r="D11" s="5">
        <v>12.0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5" t="s">
        <v>20</v>
      </c>
      <c r="B13" s="5" t="s">
        <v>35</v>
      </c>
      <c r="C13" s="5">
        <f>Dashboard!D37</f>
        <v>30</v>
      </c>
      <c r="D13" s="5">
        <v>12.0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5" t="s">
        <v>36</v>
      </c>
      <c r="C14" s="5">
        <f>Dashboard!D37</f>
        <v>30</v>
      </c>
      <c r="D14" s="5">
        <v>12.0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5" t="s">
        <v>37</v>
      </c>
      <c r="C15" s="5">
        <f>Dashboard!D37</f>
        <v>30</v>
      </c>
      <c r="D15" s="5">
        <v>12.0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5" t="s">
        <v>2</v>
      </c>
      <c r="B17" s="5" t="s">
        <v>35</v>
      </c>
      <c r="C17" s="2">
        <f>Dashboard!K3</f>
        <v>42.5</v>
      </c>
      <c r="D17" s="5" t="s">
        <v>38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5" t="s">
        <v>36</v>
      </c>
      <c r="C18" s="2">
        <f>Dashboard!K3</f>
        <v>42.5</v>
      </c>
      <c r="D18" s="5" t="s">
        <v>38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5" t="s">
        <v>37</v>
      </c>
      <c r="C19" s="2">
        <f>Dashboard!K3</f>
        <v>42.5</v>
      </c>
      <c r="D19" s="5" t="s">
        <v>38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5" t="s">
        <v>3</v>
      </c>
      <c r="B21" s="5" t="s">
        <v>35</v>
      </c>
      <c r="C21" s="2">
        <f>Dashboard!L3</f>
        <v>42.5</v>
      </c>
      <c r="D21" s="5" t="s">
        <v>38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5" t="s">
        <v>36</v>
      </c>
      <c r="C22" s="2">
        <f>Dashboard!L3</f>
        <v>42.5</v>
      </c>
      <c r="D22" s="5" t="s">
        <v>38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5" t="s">
        <v>37</v>
      </c>
      <c r="C23" s="2">
        <f>Dashboard!L3</f>
        <v>42.5</v>
      </c>
      <c r="D23" s="5" t="s">
        <v>38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5" t="s">
        <v>4</v>
      </c>
      <c r="B25" s="5" t="s">
        <v>35</v>
      </c>
      <c r="C25" s="2">
        <f>Dashboard!M3</f>
        <v>42.5</v>
      </c>
      <c r="D25" s="5" t="s">
        <v>38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5" t="s">
        <v>36</v>
      </c>
      <c r="C26" s="2">
        <f>Dashboard!M3</f>
        <v>42.5</v>
      </c>
      <c r="D26" s="5" t="s">
        <v>38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5" t="s">
        <v>37</v>
      </c>
      <c r="C27" s="2">
        <f>Dashboard!M3</f>
        <v>42.5</v>
      </c>
      <c r="D27" s="5" t="s">
        <v>38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1" t="s">
        <v>39</v>
      </c>
      <c r="B30" s="11"/>
      <c r="C30" s="11"/>
      <c r="D30" s="11"/>
      <c r="E30" s="11"/>
      <c r="F30" s="11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0" t="s">
        <v>30</v>
      </c>
      <c r="B31" s="10" t="s">
        <v>31</v>
      </c>
      <c r="C31" s="10" t="s">
        <v>32</v>
      </c>
      <c r="D31" s="10" t="s">
        <v>12</v>
      </c>
      <c r="E31" s="10" t="s">
        <v>33</v>
      </c>
      <c r="F31" s="10" t="s">
        <v>34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5" t="s">
        <v>21</v>
      </c>
      <c r="B32" s="5" t="s">
        <v>35</v>
      </c>
      <c r="C32" s="5">
        <f>Dashboard!E37</f>
        <v>125</v>
      </c>
      <c r="D32" s="5">
        <v>12.0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5" t="s">
        <v>36</v>
      </c>
      <c r="C33" s="5">
        <f>Dashboard!E37</f>
        <v>125</v>
      </c>
      <c r="D33" s="5">
        <v>12.0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5" t="s">
        <v>37</v>
      </c>
      <c r="C34" s="5">
        <f>Dashboard!E37</f>
        <v>125</v>
      </c>
      <c r="D34" s="5">
        <v>12.0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5" t="s">
        <v>5</v>
      </c>
      <c r="B36" s="5" t="s">
        <v>35</v>
      </c>
      <c r="C36" s="2">
        <f>Dashboard!N3</f>
        <v>42.5</v>
      </c>
      <c r="D36" s="5" t="s">
        <v>38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5" t="s">
        <v>36</v>
      </c>
      <c r="C37" s="2">
        <f>Dashboard!N3</f>
        <v>42.5</v>
      </c>
      <c r="D37" s="5" t="s">
        <v>38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5" t="s">
        <v>37</v>
      </c>
      <c r="C38" s="2">
        <f>Dashboard!N3</f>
        <v>42.5</v>
      </c>
      <c r="D38" s="5" t="s">
        <v>38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5" t="s">
        <v>6</v>
      </c>
      <c r="B40" s="5" t="s">
        <v>35</v>
      </c>
      <c r="C40" s="2">
        <f>Dashboard!O3</f>
        <v>42.5</v>
      </c>
      <c r="D40" s="5" t="s">
        <v>38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5" t="s">
        <v>36</v>
      </c>
      <c r="C41" s="2">
        <f>Dashboard!O3</f>
        <v>42.5</v>
      </c>
      <c r="D41" s="5" t="s">
        <v>38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5" t="s">
        <v>37</v>
      </c>
      <c r="C42" s="2">
        <f>Dashboard!O3</f>
        <v>42.5</v>
      </c>
      <c r="D42" s="5" t="s">
        <v>38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5" t="s">
        <v>40</v>
      </c>
      <c r="B44" s="5" t="s">
        <v>35</v>
      </c>
      <c r="C44" s="2"/>
      <c r="D44" s="5" t="s">
        <v>38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5" t="s">
        <v>36</v>
      </c>
      <c r="C45" s="2"/>
      <c r="D45" s="5" t="s">
        <v>38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5" t="s">
        <v>37</v>
      </c>
      <c r="C46" s="2"/>
      <c r="D46" s="5" t="s">
        <v>38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5" t="s">
        <v>7</v>
      </c>
      <c r="B48" s="5" t="s">
        <v>35</v>
      </c>
      <c r="C48" s="2">
        <f>Dashboard!P3</f>
        <v>42.5</v>
      </c>
      <c r="D48" s="5" t="s">
        <v>38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5" t="s">
        <v>36</v>
      </c>
      <c r="C49" s="2">
        <f>Dashboard!P3</f>
        <v>42.5</v>
      </c>
      <c r="D49" s="5" t="s">
        <v>38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5" t="s">
        <v>37</v>
      </c>
      <c r="C50" s="2">
        <f>Dashboard!P3</f>
        <v>42.5</v>
      </c>
      <c r="D50" s="5" t="s">
        <v>38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5" t="s">
        <v>8</v>
      </c>
      <c r="B52" s="5" t="s">
        <v>35</v>
      </c>
      <c r="C52" s="2">
        <f>Dashboard!Q3</f>
        <v>42.5</v>
      </c>
      <c r="D52" s="5" t="s">
        <v>38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5" t="s">
        <v>36</v>
      </c>
      <c r="C53" s="2">
        <f>Dashboard!Q3</f>
        <v>42.5</v>
      </c>
      <c r="D53" s="5" t="s">
        <v>38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5" t="s">
        <v>37</v>
      </c>
      <c r="C54" s="2">
        <f>Dashboard!Q3</f>
        <v>42.5</v>
      </c>
      <c r="D54" s="5" t="s">
        <v>38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5" t="s">
        <v>9</v>
      </c>
      <c r="B56" s="5" t="s">
        <v>35</v>
      </c>
      <c r="C56" s="2">
        <f>Dashboard!R3</f>
        <v>42.5</v>
      </c>
      <c r="D56" s="5" t="s">
        <v>38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5" t="s">
        <v>36</v>
      </c>
      <c r="C57" s="2">
        <f>Dashboard!R3</f>
        <v>42.5</v>
      </c>
      <c r="D57" s="5" t="s">
        <v>38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5" t="s">
        <v>37</v>
      </c>
      <c r="C58" s="2">
        <f>Dashboard!R3</f>
        <v>42.5</v>
      </c>
      <c r="D58" s="5" t="s">
        <v>38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A1" s="5" t="s">
        <v>52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 t="s">
        <v>29</v>
      </c>
      <c r="B3" s="9"/>
      <c r="C3" s="9"/>
      <c r="D3" s="9"/>
      <c r="E3" s="9"/>
      <c r="F3" s="9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" t="s">
        <v>30</v>
      </c>
      <c r="B4" s="10" t="s">
        <v>31</v>
      </c>
      <c r="C4" s="10" t="s">
        <v>32</v>
      </c>
      <c r="D4" s="10" t="s">
        <v>12</v>
      </c>
      <c r="E4" s="10" t="s">
        <v>33</v>
      </c>
      <c r="F4" s="10" t="s">
        <v>34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 t="s">
        <v>16</v>
      </c>
      <c r="B5" s="5" t="s">
        <v>35</v>
      </c>
      <c r="C5" s="5">
        <f>Dashboard!B38</f>
        <v>95</v>
      </c>
      <c r="D5" s="5">
        <v>8.0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5" t="s">
        <v>36</v>
      </c>
      <c r="C6" s="5">
        <f>Dashboard!B38</f>
        <v>95</v>
      </c>
      <c r="D6" s="5">
        <v>8.0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5" t="s">
        <v>37</v>
      </c>
      <c r="C7" s="5">
        <f>Dashboard!B38</f>
        <v>95</v>
      </c>
      <c r="D7" s="5">
        <v>8.0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5" t="s">
        <v>19</v>
      </c>
      <c r="B9" s="5" t="s">
        <v>35</v>
      </c>
      <c r="C9" s="5">
        <f>Dashboard!C38</f>
        <v>40</v>
      </c>
      <c r="D9" s="5">
        <v>8.0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5" t="s">
        <v>36</v>
      </c>
      <c r="C10" s="5">
        <f>Dashboard!C38</f>
        <v>40</v>
      </c>
      <c r="D10" s="5">
        <v>8.0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5" t="s">
        <v>37</v>
      </c>
      <c r="C11" s="5">
        <f>Dashboard!C38</f>
        <v>40</v>
      </c>
      <c r="D11" s="5">
        <v>8.0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5" t="s">
        <v>20</v>
      </c>
      <c r="B13" s="5" t="s">
        <v>35</v>
      </c>
      <c r="C13" s="5">
        <f>Dashboard!D38</f>
        <v>30</v>
      </c>
      <c r="D13" s="5">
        <v>8.0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5" t="s">
        <v>36</v>
      </c>
      <c r="C14" s="5">
        <f>Dashboard!D38</f>
        <v>30</v>
      </c>
      <c r="D14" s="5">
        <v>8.0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5" t="s">
        <v>37</v>
      </c>
      <c r="C15" s="5">
        <f>Dashboard!D38</f>
        <v>30</v>
      </c>
      <c r="D15" s="5">
        <v>8.0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5" t="s">
        <v>2</v>
      </c>
      <c r="B17" s="5" t="s">
        <v>35</v>
      </c>
      <c r="C17" s="2">
        <f>Dashboard!K5</f>
        <v>45</v>
      </c>
      <c r="D17" s="5" t="s">
        <v>38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5" t="s">
        <v>36</v>
      </c>
      <c r="C18" s="2">
        <f>Dashboard!K5</f>
        <v>45</v>
      </c>
      <c r="D18" s="5" t="s">
        <v>38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5" t="s">
        <v>37</v>
      </c>
      <c r="C19" s="2">
        <f>Dashboard!K5</f>
        <v>45</v>
      </c>
      <c r="D19" s="5" t="s">
        <v>38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5" t="s">
        <v>3</v>
      </c>
      <c r="B21" s="5" t="s">
        <v>35</v>
      </c>
      <c r="C21" s="2">
        <f>Dashboard!L5</f>
        <v>45</v>
      </c>
      <c r="D21" s="5" t="s">
        <v>38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5" t="s">
        <v>36</v>
      </c>
      <c r="C22" s="2">
        <f>Dashboard!L5</f>
        <v>45</v>
      </c>
      <c r="D22" s="5" t="s">
        <v>38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5" t="s">
        <v>37</v>
      </c>
      <c r="C23" s="2">
        <f>Dashboard!L5</f>
        <v>45</v>
      </c>
      <c r="D23" s="5" t="s">
        <v>38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5" t="s">
        <v>4</v>
      </c>
      <c r="B25" s="5" t="s">
        <v>35</v>
      </c>
      <c r="C25" s="2">
        <f>Dashboard!M5</f>
        <v>45</v>
      </c>
      <c r="D25" s="5" t="s">
        <v>38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5" t="s">
        <v>36</v>
      </c>
      <c r="C26" s="2">
        <f>Dashboard!M5</f>
        <v>45</v>
      </c>
      <c r="D26" s="5" t="s">
        <v>38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5" t="s">
        <v>37</v>
      </c>
      <c r="C27" s="2">
        <f>Dashboard!M5</f>
        <v>45</v>
      </c>
      <c r="D27" s="5" t="s">
        <v>38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1" t="s">
        <v>39</v>
      </c>
      <c r="B30" s="11"/>
      <c r="C30" s="11"/>
      <c r="D30" s="11"/>
      <c r="E30" s="11"/>
      <c r="F30" s="11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0" t="s">
        <v>30</v>
      </c>
      <c r="B31" s="10" t="s">
        <v>31</v>
      </c>
      <c r="C31" s="10" t="s">
        <v>32</v>
      </c>
      <c r="D31" s="10" t="s">
        <v>12</v>
      </c>
      <c r="E31" s="10" t="s">
        <v>33</v>
      </c>
      <c r="F31" s="10" t="s">
        <v>34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5" t="s">
        <v>21</v>
      </c>
      <c r="B32" s="5" t="s">
        <v>35</v>
      </c>
      <c r="C32" s="5">
        <f>Dashboard!E38</f>
        <v>130</v>
      </c>
      <c r="D32" s="5">
        <v>8.0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5" t="s">
        <v>36</v>
      </c>
      <c r="C33" s="5">
        <f>Dashboard!E38</f>
        <v>130</v>
      </c>
      <c r="D33" s="5">
        <v>8.0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5" t="s">
        <v>37</v>
      </c>
      <c r="C34" s="5">
        <f>Dashboard!E38</f>
        <v>130</v>
      </c>
      <c r="D34" s="5">
        <v>8.0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5" t="s">
        <v>5</v>
      </c>
      <c r="B36" s="5" t="s">
        <v>35</v>
      </c>
      <c r="C36" s="2">
        <f>Dashboard!N5</f>
        <v>45</v>
      </c>
      <c r="D36" s="5" t="s">
        <v>38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5" t="s">
        <v>36</v>
      </c>
      <c r="C37" s="2">
        <f>Dashboard!N5</f>
        <v>45</v>
      </c>
      <c r="D37" s="5" t="s">
        <v>38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5" t="s">
        <v>37</v>
      </c>
      <c r="C38" s="2">
        <f>Dashboard!N5</f>
        <v>45</v>
      </c>
      <c r="D38" s="5" t="s">
        <v>38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5" t="s">
        <v>6</v>
      </c>
      <c r="B40" s="5" t="s">
        <v>35</v>
      </c>
      <c r="C40" s="2">
        <f>Dashboard!O5</f>
        <v>45</v>
      </c>
      <c r="D40" s="5" t="s">
        <v>38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5" t="s">
        <v>36</v>
      </c>
      <c r="C41" s="2">
        <f>Dashboard!O5</f>
        <v>45</v>
      </c>
      <c r="D41" s="5" t="s">
        <v>38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5" t="s">
        <v>37</v>
      </c>
      <c r="C42" s="2">
        <f>Dashboard!O5</f>
        <v>45</v>
      </c>
      <c r="D42" s="5" t="s">
        <v>38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5" t="s">
        <v>40</v>
      </c>
      <c r="B44" s="5" t="s">
        <v>35</v>
      </c>
      <c r="C44" s="2"/>
      <c r="D44" s="5" t="s">
        <v>38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5" t="s">
        <v>36</v>
      </c>
      <c r="C45" s="2"/>
      <c r="D45" s="5" t="s">
        <v>38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5" t="s">
        <v>37</v>
      </c>
      <c r="C46" s="2"/>
      <c r="D46" s="5" t="s">
        <v>38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5" t="s">
        <v>7</v>
      </c>
      <c r="B48" s="5" t="s">
        <v>35</v>
      </c>
      <c r="C48" s="2">
        <f>Dashboard!P5</f>
        <v>45</v>
      </c>
      <c r="D48" s="5" t="s">
        <v>38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5" t="s">
        <v>36</v>
      </c>
      <c r="C49" s="2">
        <f>Dashboard!P5</f>
        <v>45</v>
      </c>
      <c r="D49" s="5" t="s">
        <v>38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5" t="s">
        <v>37</v>
      </c>
      <c r="C50" s="2">
        <f>Dashboard!P5</f>
        <v>45</v>
      </c>
      <c r="D50" s="5" t="s">
        <v>38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5" t="s">
        <v>8</v>
      </c>
      <c r="B52" s="5" t="s">
        <v>35</v>
      </c>
      <c r="C52" s="2">
        <f>Dashboard!Q5</f>
        <v>45</v>
      </c>
      <c r="D52" s="5" t="s">
        <v>38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5" t="s">
        <v>36</v>
      </c>
      <c r="C53" s="2">
        <f>Dashboard!Q5</f>
        <v>45</v>
      </c>
      <c r="D53" s="5" t="s">
        <v>38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5" t="s">
        <v>37</v>
      </c>
      <c r="C54" s="2">
        <f>Dashboard!Q5</f>
        <v>45</v>
      </c>
      <c r="D54" s="5" t="s">
        <v>38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5" t="s">
        <v>9</v>
      </c>
      <c r="B56" s="5" t="s">
        <v>35</v>
      </c>
      <c r="C56" s="2">
        <f>Dashboard!R5</f>
        <v>45</v>
      </c>
      <c r="D56" s="5" t="s">
        <v>38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5" t="s">
        <v>36</v>
      </c>
      <c r="C57" s="2">
        <f>Dashboard!R5</f>
        <v>45</v>
      </c>
      <c r="D57" s="5" t="s">
        <v>38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5" t="s">
        <v>37</v>
      </c>
      <c r="C58" s="2">
        <f>Dashboard!R5</f>
        <v>45</v>
      </c>
      <c r="D58" s="5" t="s">
        <v>38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A1" s="5" t="s">
        <v>53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</row>
    <row r="222" ht="15.75" customHeight="1">
      <c r="A222" s="2"/>
      <c r="B222" s="2"/>
      <c r="C222" s="2"/>
      <c r="D222" s="2"/>
      <c r="E222" s="2"/>
      <c r="F222" s="2"/>
    </row>
    <row r="223" ht="15.75" customHeight="1">
      <c r="A223" s="2"/>
      <c r="B223" s="2"/>
      <c r="C223" s="2"/>
      <c r="D223" s="2"/>
      <c r="E223" s="2"/>
      <c r="F223" s="2"/>
    </row>
    <row r="224" ht="15.75" customHeight="1">
      <c r="A224" s="2"/>
      <c r="B224" s="2"/>
      <c r="C224" s="2"/>
      <c r="D224" s="2"/>
      <c r="E224" s="2"/>
      <c r="F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2026-07-09T03:56:19Z</dcterms:created>
  <dc:creator>openpyxl</dc:creator>
</cp:coreProperties>
</file>